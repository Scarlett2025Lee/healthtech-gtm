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e559400efd4a18" /></Relationships>
</file>

<file path=xl/workbook.xml><?xml version="1.0" encoding="utf-8"?>
<x:workbook xmlns:x="http://schemas.openxmlformats.org/spreadsheetml/2006/main">
  <x:sheets>
    <x:sheet xmlns:r="http://schemas.openxmlformats.org/officeDocument/2006/relationships" name="Partner Universe" sheetId="1" r:id="R266c9bdbb73141fa"/>
    <x:sheet xmlns:r="http://schemas.openxmlformats.org/officeDocument/2006/relationships" name="Category Summary" sheetId="2" r:id="R10b7efa5bb47487a"/>
    <x:sheet xmlns:r="http://schemas.openxmlformats.org/officeDocument/2006/relationships" name="Scoring Framework" sheetId="3" r:id="R8791de12e7d44c15"/>
    <x:sheet xmlns:r="http://schemas.openxmlformats.org/officeDocument/2006/relationships" name="Top 25 Priorities" sheetId="4" r:id="R44246e2d2b014a26"/>
    <x:sheet xmlns:r="http://schemas.openxmlformats.org/officeDocument/2006/relationships" name="Partnership Playbook" sheetId="5" r:id="R701579b7bb4d4231"/>
    <x:sheet xmlns:r="http://schemas.openxmlformats.org/officeDocument/2006/relationships" name="Outreach &amp; Discovery" sheetId="6" r:id="Ra93fa76db50a4b34"/>
    <x:sheet xmlns:r="http://schemas.openxmlformats.org/officeDocument/2006/relationships" name="Funnel &amp; KPI Model" sheetId="7" r:id="Ra0ebb16c2e1f4763"/>
    <x:sheet xmlns:r="http://schemas.openxmlformats.org/officeDocument/2006/relationships" name="Interview Story" sheetId="8" r:id="R637e0ab781274d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
    <x:numFmt numFmtId="203" formatCode="0.0%"/>
  </x:numFmts>
  <x:fonts count="3">
    <x:font>
      <x:sz val="11"/>
      <x:name val="Carlito"/>
    </x:font>
    <x:font>
      <x:b/>
      <x:sz val="11"/>
      <x:color rgb="FFFFFFFF"/>
      <x:name val="Carlito"/>
    </x:font>
    <x:font>
      <x:b/>
      <x:sz val="11"/>
      <x:name val="Carlito"/>
    </x:font>
  </x:fonts>
  <x:fills count="11">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244062"/>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F7F7F7"/>
      </x:patternFill>
    </x:fill>
    <x:fill>
      <x:patternFill patternType="solid">
        <x:fgColor rgb="FF244062"/>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1" fillId="2" borderId="10" xfId="0" applyNumberFormat="1" applyFont="1" applyFill="1" applyBorder="1" applyAlignment="1">
      <x:alignment horizontal="center" vertical="center"/>
    </x:xf>
    <x:xf numFmtId="0" fontId="1" fillId="2" borderId="11" xfId="0" applyNumberFormat="1" applyFont="1" applyFill="1" applyBorder="1" applyAlignment="1">
      <x:alignment horizontal="center" vertical="center"/>
    </x:xf>
    <x:xf numFmtId="0" fontId="1" fillId="2" borderId="12" xfId="0" applyNumberFormat="1" applyFont="1" applyFill="1" applyBorder="1" applyAlignment="1">
      <x:alignment horizontal="center" vertical="center"/>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201" fontId="0" fillId="0" borderId="0" xfId="0" applyNumberFormat="1" applyFont="1" applyFill="1" applyBorder="1"/>
    <x:xf numFmtId="202" fontId="0" fillId="0" borderId="0" xfId="0" applyNumberFormat="1" applyFont="1" applyFill="1" applyBorder="1"/>
    <x:xf numFmtId="0" fontId="1" fillId="4"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wrapText="1"/>
    </x:xf>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2" fillId="8" borderId="0" xfId="0" applyNumberFormat="1" applyFont="1" applyFill="1" applyBorder="1" applyAlignment="1">
      <x:alignment wrapText="1"/>
    </x:xf>
    <x:xf numFmtId="0" fontId="1" fillId="7" borderId="0" xfId="0" applyNumberFormat="1" applyFont="1" applyFill="1" applyBorder="1" applyAlignment="1">
      <x:alignment wrapText="1"/>
    </x:xf>
  </x:cellXfs>
  <x:cellStyles count="1">
    <x:cellStyle name="Normal" xfId="0"/>
  </x:cellStyles>
  <x:dxfs count="3">
    <x:dxf>
      <x:font>
        <x:b/>
      </x:font>
      <x:fill>
        <x:patternFill>
          <x:bgColor rgb="FFD9EAD3"/>
        </x:patternFill>
      </x:fill>
    </x:dxf>
    <x:dxf>
      <x:fill>
        <x:patternFill>
          <x:bgColor rgb="FFFFF2CC"/>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4779e593f14718" /><Relationship Type="http://schemas.openxmlformats.org/officeDocument/2006/relationships/theme" Target="/xl/theme/theme1.xml" Id="R1316b5868c994236" /><Relationship Type="http://schemas.openxmlformats.org/officeDocument/2006/relationships/sharedStrings" Target="/xl/sharedStrings.xml" Id="R8796c452f26042c5" /><Relationship Type="http://schemas.openxmlformats.org/officeDocument/2006/relationships/worksheet" Target="/xl/worksheets/sheet1.xml" Id="R266c9bdbb73141fa" /><Relationship Type="http://schemas.openxmlformats.org/officeDocument/2006/relationships/worksheet" Target="/xl/worksheets/sheet2.xml" Id="R10b7efa5bb47487a" /><Relationship Type="http://schemas.openxmlformats.org/officeDocument/2006/relationships/worksheet" Target="/xl/worksheets/sheet3.xml" Id="R8791de12e7d44c15" /><Relationship Type="http://schemas.openxmlformats.org/officeDocument/2006/relationships/worksheet" Target="/xl/worksheets/sheet4.xml" Id="R44246e2d2b014a26" /><Relationship Type="http://schemas.openxmlformats.org/officeDocument/2006/relationships/worksheet" Target="/xl/worksheets/sheet5.xml" Id="R701579b7bb4d4231" /><Relationship Type="http://schemas.openxmlformats.org/officeDocument/2006/relationships/worksheet" Target="/xl/worksheets/sheet6.xml" Id="Ra93fa76db50a4b34" /><Relationship Type="http://schemas.openxmlformats.org/officeDocument/2006/relationships/worksheet" Target="/xl/worksheets/sheet7.xml" Id="Ra0ebb16c2e1f4763" /><Relationship Type="http://schemas.openxmlformats.org/officeDocument/2006/relationships/worksheet" Target="/xl/worksheets/sheet8.xml" Id="R637e0ab781274d6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3383d667ef4f6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Partnership Funnel — Base Case</a:t>
            </a:r>
          </a:p>
        </c:rich>
      </c:tx>
    </c:title>
    <c:plotArea>
      <c:barChart>
        <c:barDir val="col"/>
        <c:varyColors val="0"/>
        <c:ser>
          <c:idx val="0"/>
          <c:order val="0"/>
          <c:tx>
            <c:v>Series 1</c:v>
          </c:tx>
          <c:cat>
            <c:strRef>
              <c:f>'Funnel &amp; KPI Model'!$A$2:$A$9</c:f>
              <c:strCache>
                <c:ptCount val="0"/>
              </c:strCache>
            </c:strRef>
          </c:cat>
          <c:val>
            <c:numRef>
              <c:f>'Funnel &amp; KPI Model'!$B$2:$B$9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9</xdr:row>
      <xdr:rowOff>0</xdr:rowOff>
    </xdr:from>
    <xdr:to>
      <xdr:col>14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3383d667ef4f6d"/>
        </a:graphicData>
      </a:graphic>
    </xdr:graphicFrame>
    <xdr:clientData/>
  </xdr:twoCellAnchor>
</xdr:wsDr>
</file>

<file path=xl/tables/table1.xml><?xml version="1.0" encoding="utf-8"?>
<x:table xmlns:x="http://schemas.openxmlformats.org/spreadsheetml/2006/main" id="1" name="PartnerUniverseTable" displayName="PartnerUniverseTable" ref="A1:G151" headerRowCount="1" totalsRowCount="0" totalsRowShown="0">
  <x:tableColumns count="7">
    <x:tableColumn id="1" name="Partner Name"/>
    <x:tableColumn id="2" name="Category"/>
    <x:tableColumn id="3" name="Geography"/>
    <x:tableColumn id="4" name="Why Relevant"/>
    <x:tableColumn id="5" name="Source Type"/>
    <x:tableColumn id="6" name="Source URL"/>
    <x:tableColumn id="7" name="Research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04918284be49ec" /></Relationships>
</file>

<file path=xl/worksheets/_rels/sheet7.xml.rels>&#65279;<?xml version="1.0" encoding="utf-8"?><Relationships xmlns="http://schemas.openxmlformats.org/package/2006/relationships"><Relationship Type="http://schemas.openxmlformats.org/officeDocument/2006/relationships/drawing" Target="/xl/drawings/drawing1.xml" Id="R903726116d784173" /></Relationships>
</file>

<file path=xl/worksheets/sheet1.xml><?xml version="1.0" encoding="utf-8"?>
<x:worksheet xmlns:x="http://schemas.openxmlformats.org/spreadsheetml/2006/main">
  <x:sheetFormatPr defaultRowHeight="15"/>
  <x:cols>
    <x:col min="1" max="1" width="28" hidden="0" customWidth="1"/>
    <x:col min="2" max="2" width="28" hidden="0" customWidth="1"/>
    <x:col min="3" max="3" width="20" hidden="0" customWidth="1"/>
    <x:col min="4" max="4" width="48" hidden="0" customWidth="1"/>
    <x:col min="5" max="5" width="24" hidden="0" customWidth="1"/>
    <x:col min="6" max="6" width="48" hidden="0" customWidth="1"/>
    <x:col min="7" max="7" width="3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8" hidden="0" customWidth="1"/>
  </x:cols>
  <x:sheetData>
    <x:row r="1" ht="34" customHeight="1">
      <x:c r="A1" s="12" t="str">
        <x:v>Partner Name</x:v>
      </x:c>
      <x:c r="B1" s="13" t="str">
        <x:v>Category</x:v>
      </x:c>
      <x:c r="C1" s="13" t="str">
        <x:v>Geography</x:v>
      </x:c>
      <x:c r="D1" s="13" t="str">
        <x:v>Why Relevant</x:v>
      </x:c>
      <x:c r="E1" s="13" t="str">
        <x:v>Source Type</x:v>
      </x:c>
      <x:c r="F1" s="13" t="str">
        <x:v>Source URL</x:v>
      </x:c>
      <x:c r="G1" s="14" t="str">
        <x:v>Research Status</x:v>
      </x:c>
      <x:c r="H1" s="42" t="str">
        <x:v>Audience Overlap</x:v>
      </x:c>
      <x:c r="I1" s="42" t="str">
        <x:v>Referral Potential</x:v>
      </x:c>
      <x:c r="J1" s="42" t="str">
        <x:v>Strategic Fit</x:v>
      </x:c>
      <x:c r="K1" s="42" t="str">
        <x:v>Ease of Activation</x:v>
      </x:c>
      <x:c r="L1" s="42" t="str">
        <x:v>Trust</x:v>
      </x:c>
      <x:c r="M1" s="42" t="str">
        <x:v>Expected Acquisition Impact</x:v>
      </x:c>
      <x:c r="N1" s="42" t="str">
        <x:v>Weighted Score</x:v>
      </x:c>
      <x:c r="O1" s="42" t="str">
        <x:v>Priority Tier</x:v>
      </x:c>
      <x:c r="P1" s="42" t="str">
        <x:v>Analyst Rationale</x:v>
      </x:c>
    </x:row>
    <x:row r="2" ht="34" customHeight="1">
      <x:c r="A2" s="15" t="str">
        <x:v>Unified Women's Healthcare</x:v>
      </x:c>
      <x:c r="B2" s="10" t="str">
        <x:v>OB-GYN / Women's Health Practice</x:v>
      </x:c>
      <x:c r="C2" s="10" t="str">
        <x:v>National</x:v>
      </x:c>
      <x:c r="D2" s="10" t="str">
        <x:v>Large coordinated women’s-health network; strong referral/distribution potential.</x:v>
      </x:c>
      <x:c r="E2" s="10" t="str">
        <x:v>Company website</x:v>
      </x:c>
      <x:c r="F2" s="10" t="str">
        <x:v>https://www.unifiedwomenshealthcare.com/</x:v>
      </x:c>
      <x:c r="G2" s="16" t="str">
        <x:v>Seed candidate – verify current contact before outreach</x:v>
      </x:c>
      <x:c r="H2" s="43" t="n">
        <x:v>5</x:v>
      </x:c>
      <x:c r="I2" s="43" t="n">
        <x:v>5</x:v>
      </x:c>
      <x:c r="J2" s="43" t="n">
        <x:v>5</x:v>
      </x:c>
      <x:c r="K2" s="43" t="n">
        <x:v>3</x:v>
      </x:c>
      <x:c r="L2" s="43" t="n">
        <x:v>5</x:v>
      </x:c>
      <x:c r="M2" s="43" t="n">
        <x:v>4</x:v>
      </x:c>
      <x:c r="N2" s="44" t="n">
        <x:f>(H2*25%+I2*20%+J2*20%+K2*15%+L2*10%+M2*10%)*20</x:f>
        <x:v>92.00000000000001</x:v>
      </x:c>
      <x:c r="O2" s="10" t="str">
        <x:f>IF(N2&gt;=88,"High",IF(N2&gt;=78,"Medium","Long-term"))</x:f>
        <x:v>High</x:v>
      </x:c>
      <x:c r="P2" s="10" t="str">
        <x:v>Analyst hypothesis based on audience timing, natural referral moment, strategic complementarity, likely decision complexity, trust, and potential user volume. Validate through discovery.</x:v>
      </x:c>
    </x:row>
    <x:row r="3" ht="34" customHeight="1">
      <x:c r="A3" s="15" t="str">
        <x:v>Capital Women's Care</x:v>
      </x:c>
      <x:c r="B3" s="10" t="str">
        <x:v>OB-GYN / Women's Health Practice</x:v>
      </x:c>
      <x:c r="C3" s="10" t="str">
        <x:v>DC/MD/VA</x:v>
      </x:c>
      <x:c r="D3" s="10" t="str">
        <x:v>Large multi-site OB-GYN network serving pregnancy and postpartum patients.</x:v>
      </x:c>
      <x:c r="E3" s="10" t="str">
        <x:v>Company website</x:v>
      </x:c>
      <x:c r="F3" s="10" t="str">
        <x:v>https://www.cwcare.net/</x:v>
      </x:c>
      <x:c r="G3" s="16" t="str">
        <x:v>Seed candidate – verify current contact before outreach</x:v>
      </x:c>
      <x:c r="H3" s="43" t="n">
        <x:v>5</x:v>
      </x:c>
      <x:c r="I3" s="43" t="n">
        <x:v>5</x:v>
      </x:c>
      <x:c r="J3" s="43" t="n">
        <x:v>5</x:v>
      </x:c>
      <x:c r="K3" s="43" t="n">
        <x:v>3</x:v>
      </x:c>
      <x:c r="L3" s="43" t="n">
        <x:v>5</x:v>
      </x:c>
      <x:c r="M3" s="43" t="n">
        <x:v>4</x:v>
      </x:c>
      <x:c r="N3" s="44" t="n">
        <x:f>(H3*25%+I3*20%+J3*20%+K3*15%+L3*10%+M3*10%)*20</x:f>
        <x:v>92.00000000000001</x:v>
      </x:c>
      <x:c r="O3" s="10" t="str">
        <x:f>IF(N3&gt;=88,"High",IF(N3&gt;=78,"Medium","Long-term"))</x:f>
        <x:v>High</x:v>
      </x:c>
      <x:c r="P3" s="10" t="str">
        <x:v>Analyst hypothesis based on audience timing, natural referral moment, strategic complementarity, likely decision complexity, trust, and potential user volume. Validate through discovery.</x:v>
      </x:c>
    </x:row>
    <x:row r="4" ht="34" customHeight="1">
      <x:c r="A4" s="15" t="str">
        <x:v>Axia Women's Health</x:v>
      </x:c>
      <x:c r="B4" s="10" t="str">
        <x:v>OB-GYN / Women's Health Practice</x:v>
      </x:c>
      <x:c r="C4" s="10" t="str">
        <x:v>Northeast / Mid-Atlantic</x:v>
      </x:c>
      <x:c r="D4" s="10" t="str">
        <x:v>Large women’s-health network with OB-GYN and maternity care.</x:v>
      </x:c>
      <x:c r="E4" s="10" t="str">
        <x:v>Company website</x:v>
      </x:c>
      <x:c r="F4" s="10" t="str">
        <x:v>https://axiawh.com/</x:v>
      </x:c>
      <x:c r="G4" s="16" t="str">
        <x:v>Seed candidate – verify current contact before outreach</x:v>
      </x:c>
      <x:c r="H4" s="43" t="n">
        <x:v>5</x:v>
      </x:c>
      <x:c r="I4" s="43" t="n">
        <x:v>5</x:v>
      </x:c>
      <x:c r="J4" s="43" t="n">
        <x:v>5</x:v>
      </x:c>
      <x:c r="K4" s="43" t="n">
        <x:v>3</x:v>
      </x:c>
      <x:c r="L4" s="43" t="n">
        <x:v>5</x:v>
      </x:c>
      <x:c r="M4" s="43" t="n">
        <x:v>4</x:v>
      </x:c>
      <x:c r="N4" s="44" t="n">
        <x:f>(H4*25%+I4*20%+J4*20%+K4*15%+L4*10%+M4*10%)*20</x:f>
        <x:v>92.00000000000001</x:v>
      </x:c>
      <x:c r="O4" s="10" t="str">
        <x:f>IF(N4&gt;=88,"High",IF(N4&gt;=78,"Medium","Long-term"))</x:f>
        <x:v>High</x:v>
      </x:c>
      <x:c r="P4" s="10" t="str">
        <x:v>Analyst hypothesis based on audience timing, natural referral moment, strategic complementarity, likely decision complexity, trust, and potential user volume. Validate through discovery.</x:v>
      </x:c>
    </x:row>
    <x:row r="5" ht="34" customHeight="1">
      <x:c r="A5" s="15" t="str">
        <x:v>Women's Care</x:v>
      </x:c>
      <x:c r="B5" s="10" t="str">
        <x:v>OB-GYN / Women's Health Practice</x:v>
      </x:c>
      <x:c r="C5" s="10" t="str">
        <x:v>Florida</x:v>
      </x:c>
      <x:c r="D5" s="10" t="str">
        <x:v>Large multi-location women’s-health practice with OB-GYN services.</x:v>
      </x:c>
      <x:c r="E5" s="10" t="str">
        <x:v>Company website</x:v>
      </x:c>
      <x:c r="F5" s="10" t="str">
        <x:v>https://www.womenscareobgyn.com/</x:v>
      </x:c>
      <x:c r="G5" s="16" t="str">
        <x:v>Seed candidate – verify current contact before outreach</x:v>
      </x:c>
      <x:c r="H5" s="43" t="n">
        <x:v>5</x:v>
      </x:c>
      <x:c r="I5" s="43" t="n">
        <x:v>5</x:v>
      </x:c>
      <x:c r="J5" s="43" t="n">
        <x:v>5</x:v>
      </x:c>
      <x:c r="K5" s="43" t="n">
        <x:v>3</x:v>
      </x:c>
      <x:c r="L5" s="43" t="n">
        <x:v>5</x:v>
      </x:c>
      <x:c r="M5" s="43" t="n">
        <x:v>4</x:v>
      </x:c>
      <x:c r="N5" s="44" t="n">
        <x:f>(H5*25%+I5*20%+J5*20%+K5*15%+L5*10%+M5*10%)*20</x:f>
        <x:v>92.00000000000001</x:v>
      </x:c>
      <x:c r="O5" s="10" t="str">
        <x:f>IF(N5&gt;=88,"High",IF(N5&gt;=78,"Medium","Long-term"))</x:f>
        <x:v>High</x:v>
      </x:c>
      <x:c r="P5" s="10" t="str">
        <x:v>Analyst hypothesis based on audience timing, natural referral moment, strategic complementarity, likely decision complexity, trust, and potential user volume. Validate through discovery.</x:v>
      </x:c>
    </x:row>
    <x:row r="6" ht="34" customHeight="1">
      <x:c r="A6" s="15" t="str">
        <x:v>Lifeline Medical Associates</x:v>
      </x:c>
      <x:c r="B6" s="10" t="str">
        <x:v>OB-GYN / Women's Health Practice</x:v>
      </x:c>
      <x:c r="C6" s="10" t="str">
        <x:v>New Jersey</x:v>
      </x:c>
      <x:c r="D6" s="10" t="str">
        <x:v>Multi-practice OB-GYN network with maternity patients.</x:v>
      </x:c>
      <x:c r="E6" s="10" t="str">
        <x:v>Company website</x:v>
      </x:c>
      <x:c r="F6" s="10" t="str">
        <x:v>https://www.lma-llc.com/</x:v>
      </x:c>
      <x:c r="G6" s="16" t="str">
        <x:v>Seed candidate – verify current contact before outreach</x:v>
      </x:c>
      <x:c r="H6" s="43" t="n">
        <x:v>5</x:v>
      </x:c>
      <x:c r="I6" s="43" t="n">
        <x:v>5</x:v>
      </x:c>
      <x:c r="J6" s="43" t="n">
        <x:v>5</x:v>
      </x:c>
      <x:c r="K6" s="43" t="n">
        <x:v>3</x:v>
      </x:c>
      <x:c r="L6" s="43" t="n">
        <x:v>5</x:v>
      </x:c>
      <x:c r="M6" s="43" t="n">
        <x:v>4</x:v>
      </x:c>
      <x:c r="N6" s="44" t="n">
        <x:f>(H6*25%+I6*20%+J6*20%+K6*15%+L6*10%+M6*10%)*20</x:f>
        <x:v>92.00000000000001</x:v>
      </x:c>
      <x:c r="O6" s="10" t="str">
        <x:f>IF(N6&gt;=88,"High",IF(N6&gt;=78,"Medium","Long-term"))</x:f>
        <x:v>High</x:v>
      </x:c>
      <x:c r="P6" s="10" t="str">
        <x:v>Analyst hypothesis based on audience timing, natural referral moment, strategic complementarity, likely decision complexity, trust, and potential user volume. Validate through discovery.</x:v>
      </x:c>
    </x:row>
    <x:row r="7" ht="34" customHeight="1">
      <x:c r="A7" s="15" t="str">
        <x:v>Women's Health Connecticut</x:v>
      </x:c>
      <x:c r="B7" s="10" t="str">
        <x:v>OB-GYN / Women's Health Practice</x:v>
      </x:c>
      <x:c r="C7" s="10" t="str">
        <x:v>Connecticut</x:v>
      </x:c>
      <x:c r="D7" s="10" t="str">
        <x:v>Large women’s-health group with multiple OB-GYN practices.</x:v>
      </x:c>
      <x:c r="E7" s="10" t="str">
        <x:v>Company website</x:v>
      </x:c>
      <x:c r="F7" s="10" t="str">
        <x:v>https://womenshealthct.com/</x:v>
      </x:c>
      <x:c r="G7" s="16" t="str">
        <x:v>Seed candidate – verify current contact before outreach</x:v>
      </x:c>
      <x:c r="H7" s="43" t="n">
        <x:v>5</x:v>
      </x:c>
      <x:c r="I7" s="43" t="n">
        <x:v>5</x:v>
      </x:c>
      <x:c r="J7" s="43" t="n">
        <x:v>5</x:v>
      </x:c>
      <x:c r="K7" s="43" t="n">
        <x:v>3</x:v>
      </x:c>
      <x:c r="L7" s="43" t="n">
        <x:v>5</x:v>
      </x:c>
      <x:c r="M7" s="43" t="n">
        <x:v>4</x:v>
      </x:c>
      <x:c r="N7" s="44" t="n">
        <x:f>(H7*25%+I7*20%+J7*20%+K7*15%+L7*10%+M7*10%)*20</x:f>
        <x:v>92.00000000000001</x:v>
      </x:c>
      <x:c r="O7" s="10" t="str">
        <x:f>IF(N7&gt;=88,"High",IF(N7&gt;=78,"Medium","Long-term"))</x:f>
        <x:v>High</x:v>
      </x:c>
      <x:c r="P7" s="10" t="str">
        <x:v>Analyst hypothesis based on audience timing, natural referral moment, strategic complementarity, likely decision complexity, trust, and potential user volume. Validate through discovery.</x:v>
      </x:c>
    </x:row>
    <x:row r="8" ht="34" customHeight="1">
      <x:c r="A8" s="15" t="str">
        <x:v>Diana Health</x:v>
      </x:c>
      <x:c r="B8" s="10" t="str">
        <x:v>OB-GYN / Women's Health Practice</x:v>
      </x:c>
      <x:c r="C8" s="10" t="str">
        <x:v>Multiple U.S. markets</x:v>
      </x:c>
      <x:c r="D8" s="10" t="str">
        <x:v>Modern maternity and women’s-health care model; partnership-friendly positioning.</x:v>
      </x:c>
      <x:c r="E8" s="10" t="str">
        <x:v>Company website</x:v>
      </x:c>
      <x:c r="F8" s="10" t="str">
        <x:v>https://www.heydianahealth.com/</x:v>
      </x:c>
      <x:c r="G8" s="16" t="str">
        <x:v>Seed candidate – verify current contact before outreach</x:v>
      </x:c>
      <x:c r="H8" s="43" t="n">
        <x:v>5</x:v>
      </x:c>
      <x:c r="I8" s="43" t="n">
        <x:v>5</x:v>
      </x:c>
      <x:c r="J8" s="43" t="n">
        <x:v>5</x:v>
      </x:c>
      <x:c r="K8" s="43" t="n">
        <x:v>4</x:v>
      </x:c>
      <x:c r="L8" s="43" t="n">
        <x:v>5</x:v>
      </x:c>
      <x:c r="M8" s="43" t="n">
        <x:v>4</x:v>
      </x:c>
      <x:c r="N8" s="44" t="n">
        <x:f>(H8*25%+I8*20%+J8*20%+K8*15%+L8*10%+M8*10%)*20</x:f>
        <x:v>95</x:v>
      </x:c>
      <x:c r="O8" s="10" t="str">
        <x:f>IF(N8&gt;=88,"High",IF(N8&gt;=78,"Medium","Long-term"))</x:f>
        <x:v>High</x:v>
      </x:c>
      <x:c r="P8" s="10" t="str">
        <x:v>Analyst hypothesis based on audience timing, natural referral moment, strategic complementarity, likely decision complexity, trust, and potential user volume. Validate through discovery.</x:v>
      </x:c>
    </x:row>
    <x:row r="9" ht="34" customHeight="1">
      <x:c r="A9" s="15" t="str">
        <x:v>Oula</x:v>
      </x:c>
      <x:c r="B9" s="10" t="str">
        <x:v>OB-GYN / Women's Health Practice</x:v>
      </x:c>
      <x:c r="C9" s="10" t="str">
        <x:v>New York, NY</x:v>
      </x:c>
      <x:c r="D9" s="10" t="str">
        <x:v>Modern maternity clinic combining obstetrics and midwifery.</x:v>
      </x:c>
      <x:c r="E9" s="10" t="str">
        <x:v>Company website</x:v>
      </x:c>
      <x:c r="F9" s="10" t="str">
        <x:v>https://oulahealth.com/</x:v>
      </x:c>
      <x:c r="G9" s="16" t="str">
        <x:v>Seed candidate – verify current contact before outreach</x:v>
      </x:c>
      <x:c r="H9" s="43" t="n">
        <x:v>5</x:v>
      </x:c>
      <x:c r="I9" s="43" t="n">
        <x:v>5</x:v>
      </x:c>
      <x:c r="J9" s="43" t="n">
        <x:v>5</x:v>
      </x:c>
      <x:c r="K9" s="43" t="n">
        <x:v>4</x:v>
      </x:c>
      <x:c r="L9" s="43" t="n">
        <x:v>5</x:v>
      </x:c>
      <x:c r="M9" s="43" t="n">
        <x:v>4</x:v>
      </x:c>
      <x:c r="N9" s="44" t="n">
        <x:f>(H9*25%+I9*20%+J9*20%+K9*15%+L9*10%+M9*10%)*20</x:f>
        <x:v>95</x:v>
      </x:c>
      <x:c r="O9" s="10" t="str">
        <x:f>IF(N9&gt;=88,"High",IF(N9&gt;=78,"Medium","Long-term"))</x:f>
        <x:v>High</x:v>
      </x:c>
      <x:c r="P9" s="10" t="str">
        <x:v>Analyst hypothesis based on audience timing, natural referral moment, strategic complementarity, likely decision complexity, trust, and potential user volume. Validate through discovery.</x:v>
      </x:c>
    </x:row>
    <x:row r="10" ht="34" customHeight="1">
      <x:c r="A10" s="15" t="str">
        <x:v>Tia</x:v>
      </x:c>
      <x:c r="B10" s="10" t="str">
        <x:v>OB-GYN / Women's Health Practice</x:v>
      </x:c>
      <x:c r="C10" s="10" t="str">
        <x:v>Multiple U.S. markets</x:v>
      </x:c>
      <x:c r="D10" s="10" t="str">
        <x:v>Women-focused primary and reproductive-health platform.</x:v>
      </x:c>
      <x:c r="E10" s="10" t="str">
        <x:v>Company website</x:v>
      </x:c>
      <x:c r="F10" s="10" t="str">
        <x:v>https://asktia.com/</x:v>
      </x:c>
      <x:c r="G10" s="16" t="str">
        <x:v>Seed candidate – verify current contact before outreach</x:v>
      </x:c>
      <x:c r="H10" s="43" t="n">
        <x:v>5</x:v>
      </x:c>
      <x:c r="I10" s="43" t="n">
        <x:v>4</x:v>
      </x:c>
      <x:c r="J10" s="43" t="n">
        <x:v>5</x:v>
      </x:c>
      <x:c r="K10" s="43" t="n">
        <x:v>4</x:v>
      </x:c>
      <x:c r="L10" s="43" t="n">
        <x:v>5</x:v>
      </x:c>
      <x:c r="M10" s="43" t="n">
        <x:v>4</x:v>
      </x:c>
      <x:c r="N10" s="44" t="n">
        <x:f>(H10*25%+I10*20%+J10*20%+K10*15%+L10*10%+M10*10%)*20</x:f>
        <x:v>91.00000000000001</x:v>
      </x:c>
      <x:c r="O10" s="10" t="str">
        <x:f>IF(N10&gt;=88,"High",IF(N10&gt;=78,"Medium","Long-term"))</x:f>
        <x:v>High</x:v>
      </x:c>
      <x:c r="P10" s="10" t="str">
        <x:v>Analyst hypothesis based on audience timing, natural referral moment, strategic complementarity, likely decision complexity, trust, and potential user volume. Validate through discovery.</x:v>
      </x:c>
    </x:row>
    <x:row r="11" ht="34" customHeight="1">
      <x:c r="A11" s="15" t="str">
        <x:v>NYU Langone Obstetrics &amp; Gynecology</x:v>
      </x:c>
      <x:c r="B11" s="10" t="str">
        <x:v>OB-GYN / Women's Health Practice</x:v>
      </x:c>
      <x:c r="C11" s="10" t="str">
        <x:v>New York, NY</x:v>
      </x:c>
      <x:c r="D11" s="10" t="str">
        <x:v>Major academic OB-GYN system with large maternity population.</x:v>
      </x:c>
      <x:c r="E11" s="10" t="str">
        <x:v>Health-system website</x:v>
      </x:c>
      <x:c r="F11" s="10" t="str">
        <x:v>https://nyulangone.org/care-services/obstetrics-gynecology</x:v>
      </x:c>
      <x:c r="G11" s="16" t="str">
        <x:v>Seed candidate – verify current contact before outreach</x:v>
      </x:c>
      <x:c r="H11" s="43" t="n">
        <x:v>5</x:v>
      </x:c>
      <x:c r="I11" s="43" t="n">
        <x:v>5</x:v>
      </x:c>
      <x:c r="J11" s="43" t="n">
        <x:v>5</x:v>
      </x:c>
      <x:c r="K11" s="43" t="n">
        <x:v>2</x:v>
      </x:c>
      <x:c r="L11" s="43" t="n">
        <x:v>5</x:v>
      </x:c>
      <x:c r="M11" s="43" t="n">
        <x:v>5</x:v>
      </x:c>
      <x:c r="N11" s="44" t="n">
        <x:f>(H11*25%+I11*20%+J11*20%+K11*15%+L11*10%+M11*10%)*20</x:f>
        <x:v>91</x:v>
      </x:c>
      <x:c r="O11" s="10" t="str">
        <x:f>IF(N11&gt;=88,"High",IF(N11&gt;=78,"Medium","Long-term"))</x:f>
        <x:v>High</x:v>
      </x:c>
      <x:c r="P11" s="10" t="str">
        <x:v>Analyst hypothesis based on audience timing, natural referral moment, strategic complementarity, likely decision complexity, trust, and potential user volume. Validate through discovery.</x:v>
      </x:c>
    </x:row>
    <x:row r="12" ht="34" customHeight="1">
      <x:c r="A12" s="15" t="str">
        <x:v>Weill Cornell Medicine Obstetrics &amp; Gynecology</x:v>
      </x:c>
      <x:c r="B12" s="10" t="str">
        <x:v>OB-GYN / Women's Health Practice</x:v>
      </x:c>
      <x:c r="C12" s="10" t="str">
        <x:v>New York, NY</x:v>
      </x:c>
      <x:c r="D12" s="10" t="str">
        <x:v>Academic OB-GYN practice with high-trust patient base.</x:v>
      </x:c>
      <x:c r="E12" s="10" t="str">
        <x:v>Health-system website</x:v>
      </x:c>
      <x:c r="F12" s="10" t="str">
        <x:v>https://weillcornell.org/services/obstetrics-and-gynecology</x:v>
      </x:c>
      <x:c r="G12" s="16" t="str">
        <x:v>Seed candidate – verify current contact before outreach</x:v>
      </x:c>
      <x:c r="H12" s="43" t="n">
        <x:v>5</x:v>
      </x:c>
      <x:c r="I12" s="43" t="n">
        <x:v>5</x:v>
      </x:c>
      <x:c r="J12" s="43" t="n">
        <x:v>5</x:v>
      </x:c>
      <x:c r="K12" s="43" t="n">
        <x:v>2</x:v>
      </x:c>
      <x:c r="L12" s="43" t="n">
        <x:v>5</x:v>
      </x:c>
      <x:c r="M12" s="43" t="n">
        <x:v>5</x:v>
      </x:c>
      <x:c r="N12" s="44" t="n">
        <x:f>(H12*25%+I12*20%+J12*20%+K12*15%+L12*10%+M12*10%)*20</x:f>
        <x:v>91</x:v>
      </x:c>
      <x:c r="O12" s="10" t="str">
        <x:f>IF(N12&gt;=88,"High",IF(N12&gt;=78,"Medium","Long-term"))</x:f>
        <x:v>High</x:v>
      </x:c>
      <x:c r="P12" s="10" t="str">
        <x:v>Analyst hypothesis based on audience timing, natural referral moment, strategic complementarity, likely decision complexity, trust, and potential user volume. Validate through discovery.</x:v>
      </x:c>
    </x:row>
    <x:row r="13" ht="34" customHeight="1">
      <x:c r="A13" s="15" t="str">
        <x:v>Mount Sinai Obstetrics, Gynecology and Reproductive Science</x:v>
      </x:c>
      <x:c r="B13" s="10" t="str">
        <x:v>OB-GYN / Women's Health Practice</x:v>
      </x:c>
      <x:c r="C13" s="10" t="str">
        <x:v>New York, NY</x:v>
      </x:c>
      <x:c r="D13" s="10" t="str">
        <x:v>Large academic women’s-health service line.</x:v>
      </x:c>
      <x:c r="E13" s="10" t="str">
        <x:v>Health-system website</x:v>
      </x:c>
      <x:c r="F13" s="10" t="str">
        <x:v>https://www.mountsinai.org/care/obgyn</x:v>
      </x:c>
      <x:c r="G13" s="16" t="str">
        <x:v>Seed candidate – verify current contact before outreach</x:v>
      </x:c>
      <x:c r="H13" s="43" t="n">
        <x:v>5</x:v>
      </x:c>
      <x:c r="I13" s="43" t="n">
        <x:v>5</x:v>
      </x:c>
      <x:c r="J13" s="43" t="n">
        <x:v>5</x:v>
      </x:c>
      <x:c r="K13" s="43" t="n">
        <x:v>2</x:v>
      </x:c>
      <x:c r="L13" s="43" t="n">
        <x:v>5</x:v>
      </x:c>
      <x:c r="M13" s="43" t="n">
        <x:v>5</x:v>
      </x:c>
      <x:c r="N13" s="44" t="n">
        <x:f>(H13*25%+I13*20%+J13*20%+K13*15%+L13*10%+M13*10%)*20</x:f>
        <x:v>91</x:v>
      </x:c>
      <x:c r="O13" s="10" t="str">
        <x:f>IF(N13&gt;=88,"High",IF(N13&gt;=78,"Medium","Long-term"))</x:f>
        <x:v>High</x:v>
      </x:c>
      <x:c r="P13" s="10" t="str">
        <x:v>Analyst hypothesis based on audience timing, natural referral moment, strategic complementarity, likely decision complexity, trust, and potential user volume. Validate through discovery.</x:v>
      </x:c>
    </x:row>
    <x:row r="14" ht="34" customHeight="1">
      <x:c r="A14" s="15" t="str">
        <x:v>ColumbiaDoctors Obstetrics &amp; Gynecology</x:v>
      </x:c>
      <x:c r="B14" s="10" t="str">
        <x:v>OB-GYN / Women's Health Practice</x:v>
      </x:c>
      <x:c r="C14" s="10" t="str">
        <x:v>New York, NY</x:v>
      </x:c>
      <x:c r="D14" s="10" t="str">
        <x:v>Academic OB-GYN network serving pregnancy and postpartum patients.</x:v>
      </x:c>
      <x:c r="E14" s="10" t="str">
        <x:v>Health-system website</x:v>
      </x:c>
      <x:c r="F14" s="10" t="str">
        <x:v>https://www.columbiadoctors.org/specialties/obstetrics-gynecology</x:v>
      </x:c>
      <x:c r="G14" s="16" t="str">
        <x:v>Seed candidate – verify current contact before outreach</x:v>
      </x:c>
      <x:c r="H14" s="43" t="n">
        <x:v>5</x:v>
      </x:c>
      <x:c r="I14" s="43" t="n">
        <x:v>5</x:v>
      </x:c>
      <x:c r="J14" s="43" t="n">
        <x:v>5</x:v>
      </x:c>
      <x:c r="K14" s="43" t="n">
        <x:v>2</x:v>
      </x:c>
      <x:c r="L14" s="43" t="n">
        <x:v>5</x:v>
      </x:c>
      <x:c r="M14" s="43" t="n">
        <x:v>5</x:v>
      </x:c>
      <x:c r="N14" s="44" t="n">
        <x:f>(H14*25%+I14*20%+J14*20%+K14*15%+L14*10%+M14*10%)*20</x:f>
        <x:v>91</x:v>
      </x:c>
      <x:c r="O14" s="10" t="str">
        <x:f>IF(N14&gt;=88,"High",IF(N14&gt;=78,"Medium","Long-term"))</x:f>
        <x:v>High</x:v>
      </x:c>
      <x:c r="P14" s="10" t="str">
        <x:v>Analyst hypothesis based on audience timing, natural referral moment, strategic complementarity, likely decision complexity, trust, and potential user volume. Validate through discovery.</x:v>
      </x:c>
    </x:row>
    <x:row r="15" ht="34" customHeight="1">
      <x:c r="A15" s="15" t="str">
        <x:v>Northwell Health Obstetrics and Gynecology</x:v>
      </x:c>
      <x:c r="B15" s="10" t="str">
        <x:v>OB-GYN / Women's Health Practice</x:v>
      </x:c>
      <x:c r="C15" s="10" t="str">
        <x:v>New York</x:v>
      </x:c>
      <x:c r="D15" s="10" t="str">
        <x:v>Large regional health system with extensive maternity reach.</x:v>
      </x:c>
      <x:c r="E15" s="10" t="str">
        <x:v>Health-system website</x:v>
      </x:c>
      <x:c r="F15" s="10" t="str">
        <x:v>https://www.northwell.edu/obstetrics-and-gynecology</x:v>
      </x:c>
      <x:c r="G15" s="16" t="str">
        <x:v>Seed candidate – verify current contact before outreach</x:v>
      </x:c>
      <x:c r="H15" s="43" t="n">
        <x:v>5</x:v>
      </x:c>
      <x:c r="I15" s="43" t="n">
        <x:v>5</x:v>
      </x:c>
      <x:c r="J15" s="43" t="n">
        <x:v>5</x:v>
      </x:c>
      <x:c r="K15" s="43" t="n">
        <x:v>2</x:v>
      </x:c>
      <x:c r="L15" s="43" t="n">
        <x:v>5</x:v>
      </x:c>
      <x:c r="M15" s="43" t="n">
        <x:v>5</x:v>
      </x:c>
      <x:c r="N15" s="44" t="n">
        <x:f>(H15*25%+I15*20%+J15*20%+K15*15%+L15*10%+M15*10%)*20</x:f>
        <x:v>91</x:v>
      </x:c>
      <x:c r="O15" s="10" t="str">
        <x:f>IF(N15&gt;=88,"High",IF(N15&gt;=78,"Medium","Long-term"))</x:f>
        <x:v>High</x:v>
      </x:c>
      <x:c r="P15" s="10" t="str">
        <x:v>Analyst hypothesis based on audience timing, natural referral moment, strategic complementarity, likely decision complexity, trust, and potential user volume. Validate through discovery.</x:v>
      </x:c>
    </x:row>
    <x:row r="16" ht="34" customHeight="1">
      <x:c r="A16" s="15" t="str">
        <x:v>UCLA Health Obstetrics &amp; Gynecology</x:v>
      </x:c>
      <x:c r="B16" s="10" t="str">
        <x:v>OB-GYN / Women's Health Practice</x:v>
      </x:c>
      <x:c r="C16" s="10" t="str">
        <x:v>Los Angeles, CA</x:v>
      </x:c>
      <x:c r="D16" s="10" t="str">
        <x:v>Large academic OB-GYN service with pregnancy care.</x:v>
      </x:c>
      <x:c r="E16" s="10" t="str">
        <x:v>Health-system website</x:v>
      </x:c>
      <x:c r="F16" s="10" t="str">
        <x:v>https://www.uclahealth.org/medical-services/obgyn</x:v>
      </x:c>
      <x:c r="G16" s="16" t="str">
        <x:v>Seed candidate – verify current contact before outreach</x:v>
      </x:c>
      <x:c r="H16" s="43" t="n">
        <x:v>5</x:v>
      </x:c>
      <x:c r="I16" s="43" t="n">
        <x:v>5</x:v>
      </x:c>
      <x:c r="J16" s="43" t="n">
        <x:v>5</x:v>
      </x:c>
      <x:c r="K16" s="43" t="n">
        <x:v>2</x:v>
      </x:c>
      <x:c r="L16" s="43" t="n">
        <x:v>5</x:v>
      </x:c>
      <x:c r="M16" s="43" t="n">
        <x:v>5</x:v>
      </x:c>
      <x:c r="N16" s="44" t="n">
        <x:f>(H16*25%+I16*20%+J16*20%+K16*15%+L16*10%+M16*10%)*20</x:f>
        <x:v>91</x:v>
      </x:c>
      <x:c r="O16" s="10" t="str">
        <x:f>IF(N16&gt;=88,"High",IF(N16&gt;=78,"Medium","Long-term"))</x:f>
        <x:v>High</x:v>
      </x:c>
      <x:c r="P16" s="10" t="str">
        <x:v>Analyst hypothesis based on audience timing, natural referral moment, strategic complementarity, likely decision complexity, trust, and potential user volume. Validate through discovery.</x:v>
      </x:c>
    </x:row>
    <x:row r="17" ht="34" customHeight="1">
      <x:c r="A17" s="15" t="str">
        <x:v>UCSF Obstetrics, Gynecology &amp; Reproductive Sciences</x:v>
      </x:c>
      <x:c r="B17" s="10" t="str">
        <x:v>OB-GYN / Women's Health Practice</x:v>
      </x:c>
      <x:c r="C17" s="10" t="str">
        <x:v>San Francisco, CA</x:v>
      </x:c>
      <x:c r="D17" s="10" t="str">
        <x:v>Academic women’s-health center with strong Bay Area reach.</x:v>
      </x:c>
      <x:c r="E17" s="10" t="str">
        <x:v>Health-system website</x:v>
      </x:c>
      <x:c r="F17" s="10" t="str">
        <x:v>https://obgyn.ucsf.edu/</x:v>
      </x:c>
      <x:c r="G17" s="16" t="str">
        <x:v>Seed candidate – verify current contact before outreach</x:v>
      </x:c>
      <x:c r="H17" s="43" t="n">
        <x:v>5</x:v>
      </x:c>
      <x:c r="I17" s="43" t="n">
        <x:v>5</x:v>
      </x:c>
      <x:c r="J17" s="43" t="n">
        <x:v>5</x:v>
      </x:c>
      <x:c r="K17" s="43" t="n">
        <x:v>2</x:v>
      </x:c>
      <x:c r="L17" s="43" t="n">
        <x:v>5</x:v>
      </x:c>
      <x:c r="M17" s="43" t="n">
        <x:v>5</x:v>
      </x:c>
      <x:c r="N17" s="44" t="n">
        <x:f>(H17*25%+I17*20%+J17*20%+K17*15%+L17*10%+M17*10%)*20</x:f>
        <x:v>91</x:v>
      </x:c>
      <x:c r="O17" s="10" t="str">
        <x:f>IF(N17&gt;=88,"High",IF(N17&gt;=78,"Medium","Long-term"))</x:f>
        <x:v>High</x:v>
      </x:c>
      <x:c r="P17" s="10" t="str">
        <x:v>Analyst hypothesis based on audience timing, natural referral moment, strategic complementarity, likely decision complexity, trust, and potential user volume. Validate through discovery.</x:v>
      </x:c>
    </x:row>
    <x:row r="18" ht="34" customHeight="1">
      <x:c r="A18" s="15" t="str">
        <x:v>Stanford Medicine Obstetrics and Gynecology</x:v>
      </x:c>
      <x:c r="B18" s="10" t="str">
        <x:v>OB-GYN / Women's Health Practice</x:v>
      </x:c>
      <x:c r="C18" s="10" t="str">
        <x:v>Bay Area, CA</x:v>
      </x:c>
      <x:c r="D18" s="10" t="str">
        <x:v>Academic OB-GYN provider with high-trust maternity audience.</x:v>
      </x:c>
      <x:c r="E18" s="10" t="str">
        <x:v>Health-system website</x:v>
      </x:c>
      <x:c r="F18" s="10" t="str">
        <x:v>https://med.stanford.edu/obgyn.html</x:v>
      </x:c>
      <x:c r="G18" s="16" t="str">
        <x:v>Seed candidate – verify current contact before outreach</x:v>
      </x:c>
      <x:c r="H18" s="43" t="n">
        <x:v>5</x:v>
      </x:c>
      <x:c r="I18" s="43" t="n">
        <x:v>5</x:v>
      </x:c>
      <x:c r="J18" s="43" t="n">
        <x:v>5</x:v>
      </x:c>
      <x:c r="K18" s="43" t="n">
        <x:v>2</x:v>
      </x:c>
      <x:c r="L18" s="43" t="n">
        <x:v>5</x:v>
      </x:c>
      <x:c r="M18" s="43" t="n">
        <x:v>5</x:v>
      </x:c>
      <x:c r="N18" s="44" t="n">
        <x:f>(H18*25%+I18*20%+J18*20%+K18*15%+L18*10%+M18*10%)*20</x:f>
        <x:v>91</x:v>
      </x:c>
      <x:c r="O18" s="10" t="str">
        <x:f>IF(N18&gt;=88,"High",IF(N18&gt;=78,"Medium","Long-term"))</x:f>
        <x:v>High</x:v>
      </x:c>
      <x:c r="P18" s="10" t="str">
        <x:v>Analyst hypothesis based on audience timing, natural referral moment, strategic complementarity, likely decision complexity, trust, and potential user volume. Validate through discovery.</x:v>
      </x:c>
    </x:row>
    <x:row r="19" ht="34" customHeight="1">
      <x:c r="A19" s="15" t="str">
        <x:v>Sutter Health Obstetrics and Gynecology</x:v>
      </x:c>
      <x:c r="B19" s="10" t="str">
        <x:v>OB-GYN / Women's Health Practice</x:v>
      </x:c>
      <x:c r="C19" s="10" t="str">
        <x:v>Northern California</x:v>
      </x:c>
      <x:c r="D19" s="10" t="str">
        <x:v>Large regional health network with maternity services.</x:v>
      </x:c>
      <x:c r="E19" s="10" t="str">
        <x:v>Health-system website</x:v>
      </x:c>
      <x:c r="F19" s="10" t="str">
        <x:v>https://www.sutterhealth.org/services/gynecology-womens-health</x:v>
      </x:c>
      <x:c r="G19" s="16" t="str">
        <x:v>Seed candidate – verify current contact before outreach</x:v>
      </x:c>
      <x:c r="H19" s="43" t="n">
        <x:v>5</x:v>
      </x:c>
      <x:c r="I19" s="43" t="n">
        <x:v>5</x:v>
      </x:c>
      <x:c r="J19" s="43" t="n">
        <x:v>5</x:v>
      </x:c>
      <x:c r="K19" s="43" t="n">
        <x:v>2</x:v>
      </x:c>
      <x:c r="L19" s="43" t="n">
        <x:v>5</x:v>
      </x:c>
      <x:c r="M19" s="43" t="n">
        <x:v>5</x:v>
      </x:c>
      <x:c r="N19" s="44" t="n">
        <x:f>(H19*25%+I19*20%+J19*20%+K19*15%+L19*10%+M19*10%)*20</x:f>
        <x:v>91</x:v>
      </x:c>
      <x:c r="O19" s="10" t="str">
        <x:f>IF(N19&gt;=88,"High",IF(N19&gt;=78,"Medium","Long-term"))</x:f>
        <x:v>High</x:v>
      </x:c>
      <x:c r="P19" s="10" t="str">
        <x:v>Analyst hypothesis based on audience timing, natural referral moment, strategic complementarity, likely decision complexity, trust, and potential user volume. Validate through discovery.</x:v>
      </x:c>
    </x:row>
    <x:row r="20" ht="34" customHeight="1">
      <x:c r="A20" s="15" t="str">
        <x:v>Kaiser Permanente Women's Health / OB-GYN</x:v>
      </x:c>
      <x:c r="B20" s="10" t="str">
        <x:v>OB-GYN / Women's Health Practice</x:v>
      </x:c>
      <x:c r="C20" s="10" t="str">
        <x:v>Multiple U.S. markets</x:v>
      </x:c>
      <x:c r="D20" s="10" t="str">
        <x:v>Very large integrated care network with pregnancy patients.</x:v>
      </x:c>
      <x:c r="E20" s="10" t="str">
        <x:v>Health-system website</x:v>
      </x:c>
      <x:c r="F20" s="10" t="str">
        <x:v>https://healthy.kaiserpermanente.org/health-wellness/maternity</x:v>
      </x:c>
      <x:c r="G20" s="16" t="str">
        <x:v>Seed candidate – verify current contact before outreach</x:v>
      </x:c>
      <x:c r="H20" s="43" t="n">
        <x:v>5</x:v>
      </x:c>
      <x:c r="I20" s="43" t="n">
        <x:v>5</x:v>
      </x:c>
      <x:c r="J20" s="43" t="n">
        <x:v>5</x:v>
      </x:c>
      <x:c r="K20" s="43" t="n">
        <x:v>2</x:v>
      </x:c>
      <x:c r="L20" s="43" t="n">
        <x:v>5</x:v>
      </x:c>
      <x:c r="M20" s="43" t="n">
        <x:v>5</x:v>
      </x:c>
      <x:c r="N20" s="44" t="n">
        <x:f>(H20*25%+I20*20%+J20*20%+K20*15%+L20*10%+M20*10%)*20</x:f>
        <x:v>91</x:v>
      </x:c>
      <x:c r="O20" s="10" t="str">
        <x:f>IF(N20&gt;=88,"High",IF(N20&gt;=78,"Medium","Long-term"))</x:f>
        <x:v>High</x:v>
      </x:c>
      <x:c r="P20" s="10" t="str">
        <x:v>Analyst hypothesis based on audience timing, natural referral moment, strategic complementarity, likely decision complexity, trust, and potential user volume. Validate through discovery.</x:v>
      </x:c>
    </x:row>
    <x:row r="21" ht="34" customHeight="1">
      <x:c r="A21" s="15" t="str">
        <x:v>Hoag Women's Health Institute</x:v>
      </x:c>
      <x:c r="B21" s="10" t="str">
        <x:v>OB-GYN / Women's Health Practice</x:v>
      </x:c>
      <x:c r="C21" s="10" t="str">
        <x:v>Orange County, CA</x:v>
      </x:c>
      <x:c r="D21" s="10" t="str">
        <x:v>Women’s-health system with maternity and pelvic-health services.</x:v>
      </x:c>
      <x:c r="E21" s="10" t="str">
        <x:v>Health-system website</x:v>
      </x:c>
      <x:c r="F21" s="10" t="str">
        <x:v>https://www.hoag.org/specialties-services/womens-health/</x:v>
      </x:c>
      <x:c r="G21" s="16" t="str">
        <x:v>Seed candidate – verify current contact before outreach</x:v>
      </x:c>
      <x:c r="H21" s="43" t="n">
        <x:v>5</x:v>
      </x:c>
      <x:c r="I21" s="43" t="n">
        <x:v>5</x:v>
      </x:c>
      <x:c r="J21" s="43" t="n">
        <x:v>5</x:v>
      </x:c>
      <x:c r="K21" s="43" t="n">
        <x:v>2</x:v>
      </x:c>
      <x:c r="L21" s="43" t="n">
        <x:v>5</x:v>
      </x:c>
      <x:c r="M21" s="43" t="n">
        <x:v>5</x:v>
      </x:c>
      <x:c r="N21" s="44" t="n">
        <x:f>(H21*25%+I21*20%+J21*20%+K21*15%+L21*10%+M21*10%)*20</x:f>
        <x:v>91</x:v>
      </x:c>
      <x:c r="O21" s="10" t="str">
        <x:f>IF(N21&gt;=88,"High",IF(N21&gt;=78,"Medium","Long-term"))</x:f>
        <x:v>High</x:v>
      </x:c>
      <x:c r="P21" s="10" t="str">
        <x:v>Analyst hypothesis based on audience timing, natural referral moment, strategic complementarity, likely decision complexity, trust, and potential user volume. Validate through discovery.</x:v>
      </x:c>
    </x:row>
    <x:row r="22" ht="34" customHeight="1">
      <x:c r="A22" s="15" t="str">
        <x:v>Cedars-Sinai Obstetrics &amp; Gynecology</x:v>
      </x:c>
      <x:c r="B22" s="10" t="str">
        <x:v>OB-GYN / Women's Health Practice</x:v>
      </x:c>
      <x:c r="C22" s="10" t="str">
        <x:v>Los Angeles, CA</x:v>
      </x:c>
      <x:c r="D22" s="10" t="str">
        <x:v>Major maternity and women’s-health provider.</x:v>
      </x:c>
      <x:c r="E22" s="10" t="str">
        <x:v>Health-system website</x:v>
      </x:c>
      <x:c r="F22" s="10" t="str">
        <x:v>https://www.cedars-sinai.org/programs/obstetrics-gynecology.html</x:v>
      </x:c>
      <x:c r="G22" s="16" t="str">
        <x:v>Seed candidate – verify current contact before outreach</x:v>
      </x:c>
      <x:c r="H22" s="43" t="n">
        <x:v>5</x:v>
      </x:c>
      <x:c r="I22" s="43" t="n">
        <x:v>5</x:v>
      </x:c>
      <x:c r="J22" s="43" t="n">
        <x:v>5</x:v>
      </x:c>
      <x:c r="K22" s="43" t="n">
        <x:v>2</x:v>
      </x:c>
      <x:c r="L22" s="43" t="n">
        <x:v>5</x:v>
      </x:c>
      <x:c r="M22" s="43" t="n">
        <x:v>5</x:v>
      </x:c>
      <x:c r="N22" s="44" t="n">
        <x:f>(H22*25%+I22*20%+J22*20%+K22*15%+L22*10%+M22*10%)*20</x:f>
        <x:v>91</x:v>
      </x:c>
      <x:c r="O22" s="10" t="str">
        <x:f>IF(N22&gt;=88,"High",IF(N22&gt;=78,"Medium","Long-term"))</x:f>
        <x:v>High</x:v>
      </x:c>
      <x:c r="P22" s="10" t="str">
        <x:v>Analyst hypothesis based on audience timing, natural referral moment, strategic complementarity, likely decision complexity, trust, and potential user volume. Validate through discovery.</x:v>
      </x:c>
    </x:row>
    <x:row r="23" ht="34" customHeight="1">
      <x:c r="A23" s="15" t="str">
        <x:v>Northwestern Medicine Obstetrics and Gynecology</x:v>
      </x:c>
      <x:c r="B23" s="10" t="str">
        <x:v>OB-GYN / Women's Health Practice</x:v>
      </x:c>
      <x:c r="C23" s="10" t="str">
        <x:v>Chicago, IL</x:v>
      </x:c>
      <x:c r="D23" s="10" t="str">
        <x:v>Large academic OB-GYN network.</x:v>
      </x:c>
      <x:c r="E23" s="10" t="str">
        <x:v>Health-system website</x:v>
      </x:c>
      <x:c r="F23" s="10" t="str">
        <x:v>https://www.nm.org/conditions-and-care-areas/womens-health/obstetrics-and-gynecology</x:v>
      </x:c>
      <x:c r="G23" s="16" t="str">
        <x:v>Seed candidate – verify current contact before outreach</x:v>
      </x:c>
      <x:c r="H23" s="43" t="n">
        <x:v>5</x:v>
      </x:c>
      <x:c r="I23" s="43" t="n">
        <x:v>5</x:v>
      </x:c>
      <x:c r="J23" s="43" t="n">
        <x:v>5</x:v>
      </x:c>
      <x:c r="K23" s="43" t="n">
        <x:v>2</x:v>
      </x:c>
      <x:c r="L23" s="43" t="n">
        <x:v>5</x:v>
      </x:c>
      <x:c r="M23" s="43" t="n">
        <x:v>5</x:v>
      </x:c>
      <x:c r="N23" s="44" t="n">
        <x:f>(H23*25%+I23*20%+J23*20%+K23*15%+L23*10%+M23*10%)*20</x:f>
        <x:v>91</x:v>
      </x:c>
      <x:c r="O23" s="10" t="str">
        <x:f>IF(N23&gt;=88,"High",IF(N23&gt;=78,"Medium","Long-term"))</x:f>
        <x:v>High</x:v>
      </x:c>
      <x:c r="P23" s="10" t="str">
        <x:v>Analyst hypothesis based on audience timing, natural referral moment, strategic complementarity, likely decision complexity, trust, and potential user volume. Validate through discovery.</x:v>
      </x:c>
    </x:row>
    <x:row r="24" ht="34" customHeight="1">
      <x:c r="A24" s="15" t="str">
        <x:v>Rush Obstetrics and Gynecology</x:v>
      </x:c>
      <x:c r="B24" s="10" t="str">
        <x:v>OB-GYN / Women's Health Practice</x:v>
      </x:c>
      <x:c r="C24" s="10" t="str">
        <x:v>Chicago, IL</x:v>
      </x:c>
      <x:c r="D24" s="10" t="str">
        <x:v>Academic women’s-health provider with maternity care.</x:v>
      </x:c>
      <x:c r="E24" s="10" t="str">
        <x:v>Health-system website</x:v>
      </x:c>
      <x:c r="F24" s="10" t="str">
        <x:v>https://www.rush.edu/services/obstetrics-and-gynecology-ob-gyn-services</x:v>
      </x:c>
      <x:c r="G24" s="16" t="str">
        <x:v>Seed candidate – verify current contact before outreach</x:v>
      </x:c>
      <x:c r="H24" s="43" t="n">
        <x:v>5</x:v>
      </x:c>
      <x:c r="I24" s="43" t="n">
        <x:v>5</x:v>
      </x:c>
      <x:c r="J24" s="43" t="n">
        <x:v>5</x:v>
      </x:c>
      <x:c r="K24" s="43" t="n">
        <x:v>2</x:v>
      </x:c>
      <x:c r="L24" s="43" t="n">
        <x:v>5</x:v>
      </x:c>
      <x:c r="M24" s="43" t="n">
        <x:v>5</x:v>
      </x:c>
      <x:c r="N24" s="44" t="n">
        <x:f>(H24*25%+I24*20%+J24*20%+K24*15%+L24*10%+M24*10%)*20</x:f>
        <x:v>91</x:v>
      </x:c>
      <x:c r="O24" s="10" t="str">
        <x:f>IF(N24&gt;=88,"High",IF(N24&gt;=78,"Medium","Long-term"))</x:f>
        <x:v>High</x:v>
      </x:c>
      <x:c r="P24" s="10" t="str">
        <x:v>Analyst hypothesis based on audience timing, natural referral moment, strategic complementarity, likely decision complexity, trust, and potential user volume. Validate through discovery.</x:v>
      </x:c>
    </x:row>
    <x:row r="25" ht="34" customHeight="1">
      <x:c r="A25" s="15" t="str">
        <x:v>UChicago Medicine Obstetrics and Gynecology</x:v>
      </x:c>
      <x:c r="B25" s="10" t="str">
        <x:v>OB-GYN / Women's Health Practice</x:v>
      </x:c>
      <x:c r="C25" s="10" t="str">
        <x:v>Chicago, IL</x:v>
      </x:c>
      <x:c r="D25" s="10" t="str">
        <x:v>Academic OB-GYN service serving pregnant and postpartum patients.</x:v>
      </x:c>
      <x:c r="E25" s="10" t="str">
        <x:v>Health-system website</x:v>
      </x:c>
      <x:c r="F25" s="10" t="str">
        <x:v>https://www.uchicagomedicine.org/conditions-services/obgyn</x:v>
      </x:c>
      <x:c r="G25" s="16" t="str">
        <x:v>Seed candidate – verify current contact before outreach</x:v>
      </x:c>
      <x:c r="H25" s="43" t="n">
        <x:v>5</x:v>
      </x:c>
      <x:c r="I25" s="43" t="n">
        <x:v>5</x:v>
      </x:c>
      <x:c r="J25" s="43" t="n">
        <x:v>5</x:v>
      </x:c>
      <x:c r="K25" s="43" t="n">
        <x:v>2</x:v>
      </x:c>
      <x:c r="L25" s="43" t="n">
        <x:v>5</x:v>
      </x:c>
      <x:c r="M25" s="43" t="n">
        <x:v>5</x:v>
      </x:c>
      <x:c r="N25" s="44" t="n">
        <x:f>(H25*25%+I25*20%+J25*20%+K25*15%+L25*10%+M25*10%)*20</x:f>
        <x:v>91</x:v>
      </x:c>
      <x:c r="O25" s="10" t="str">
        <x:f>IF(N25&gt;=88,"High",IF(N25&gt;=78,"Medium","Long-term"))</x:f>
        <x:v>High</x:v>
      </x:c>
      <x:c r="P25" s="10" t="str">
        <x:v>Analyst hypothesis based on audience timing, natural referral moment, strategic complementarity, likely decision complexity, trust, and potential user volume. Validate through discovery.</x:v>
      </x:c>
    </x:row>
    <x:row r="26" ht="34" customHeight="1">
      <x:c r="A26" s="15" t="str">
        <x:v>Texas Children's Pavilion for Women</x:v>
      </x:c>
      <x:c r="B26" s="10" t="str">
        <x:v>OB-GYN / Women's Health Practice</x:v>
      </x:c>
      <x:c r="C26" s="10" t="str">
        <x:v>Houston, TX</x:v>
      </x:c>
      <x:c r="D26" s="10" t="str">
        <x:v>High-volume women’s and maternity center.</x:v>
      </x:c>
      <x:c r="E26" s="10" t="str">
        <x:v>Health-system website</x:v>
      </x:c>
      <x:c r="F26" s="10" t="str">
        <x:v>https://www.texaschildrens.org/departments/texas-childrens-pavilion-women</x:v>
      </x:c>
      <x:c r="G26" s="16" t="str">
        <x:v>Seed candidate – verify current contact before outreach</x:v>
      </x:c>
      <x:c r="H26" s="43" t="n">
        <x:v>5</x:v>
      </x:c>
      <x:c r="I26" s="43" t="n">
        <x:v>5</x:v>
      </x:c>
      <x:c r="J26" s="43" t="n">
        <x:v>5</x:v>
      </x:c>
      <x:c r="K26" s="43" t="n">
        <x:v>2</x:v>
      </x:c>
      <x:c r="L26" s="43" t="n">
        <x:v>5</x:v>
      </x:c>
      <x:c r="M26" s="43" t="n">
        <x:v>5</x:v>
      </x:c>
      <x:c r="N26" s="44" t="n">
        <x:f>(H26*25%+I26*20%+J26*20%+K26*15%+L26*10%+M26*10%)*20</x:f>
        <x:v>91</x:v>
      </x:c>
      <x:c r="O26" s="10" t="str">
        <x:f>IF(N26&gt;=88,"High",IF(N26&gt;=78,"Medium","Long-term"))</x:f>
        <x:v>High</x:v>
      </x:c>
      <x:c r="P26" s="10" t="str">
        <x:v>Analyst hypothesis based on audience timing, natural referral moment, strategic complementarity, likely decision complexity, trust, and potential user volume. Validate through discovery.</x:v>
      </x:c>
    </x:row>
    <x:row r="27" ht="34" customHeight="1">
      <x:c r="A27" s="15" t="str">
        <x:v>UT Southwestern Obstetrics and Gynecology</x:v>
      </x:c>
      <x:c r="B27" s="10" t="str">
        <x:v>OB-GYN / Women's Health Practice</x:v>
      </x:c>
      <x:c r="C27" s="10" t="str">
        <x:v>Dallas, TX</x:v>
      </x:c>
      <x:c r="D27" s="10" t="str">
        <x:v>Large academic OB-GYN practice.</x:v>
      </x:c>
      <x:c r="E27" s="10" t="str">
        <x:v>Health-system website</x:v>
      </x:c>
      <x:c r="F27" s="10" t="str">
        <x:v>https://utswmed.org/conditions-treatments/obstetrics-gynecology/</x:v>
      </x:c>
      <x:c r="G27" s="16" t="str">
        <x:v>Seed candidate – verify current contact before outreach</x:v>
      </x:c>
      <x:c r="H27" s="43" t="n">
        <x:v>5</x:v>
      </x:c>
      <x:c r="I27" s="43" t="n">
        <x:v>5</x:v>
      </x:c>
      <x:c r="J27" s="43" t="n">
        <x:v>5</x:v>
      </x:c>
      <x:c r="K27" s="43" t="n">
        <x:v>2</x:v>
      </x:c>
      <x:c r="L27" s="43" t="n">
        <x:v>5</x:v>
      </x:c>
      <x:c r="M27" s="43" t="n">
        <x:v>5</x:v>
      </x:c>
      <x:c r="N27" s="44" t="n">
        <x:f>(H27*25%+I27*20%+J27*20%+K27*15%+L27*10%+M27*10%)*20</x:f>
        <x:v>91</x:v>
      </x:c>
      <x:c r="O27" s="10" t="str">
        <x:f>IF(N27&gt;=88,"High",IF(N27&gt;=78,"Medium","Long-term"))</x:f>
        <x:v>High</x:v>
      </x:c>
      <x:c r="P27" s="10" t="str">
        <x:v>Analyst hypothesis based on audience timing, natural referral moment, strategic complementarity, likely decision complexity, trust, and potential user volume. Validate through discovery.</x:v>
      </x:c>
    </x:row>
    <x:row r="28" ht="34" customHeight="1">
      <x:c r="A28" s="15" t="str">
        <x:v>Baylor Scott &amp; White Women's Health</x:v>
      </x:c>
      <x:c r="B28" s="10" t="str">
        <x:v>OB-GYN / Women's Health Practice</x:v>
      </x:c>
      <x:c r="C28" s="10" t="str">
        <x:v>Texas</x:v>
      </x:c>
      <x:c r="D28" s="10" t="str">
        <x:v>Large regional health system with maternity care.</x:v>
      </x:c>
      <x:c r="E28" s="10" t="str">
        <x:v>Health-system website</x:v>
      </x:c>
      <x:c r="F28" s="10" t="str">
        <x:v>https://www.bswhealth.com/specialties/womens-health</x:v>
      </x:c>
      <x:c r="G28" s="16" t="str">
        <x:v>Seed candidate – verify current contact before outreach</x:v>
      </x:c>
      <x:c r="H28" s="43" t="n">
        <x:v>5</x:v>
      </x:c>
      <x:c r="I28" s="43" t="n">
        <x:v>5</x:v>
      </x:c>
      <x:c r="J28" s="43" t="n">
        <x:v>5</x:v>
      </x:c>
      <x:c r="K28" s="43" t="n">
        <x:v>2</x:v>
      </x:c>
      <x:c r="L28" s="43" t="n">
        <x:v>5</x:v>
      </x:c>
      <x:c r="M28" s="43" t="n">
        <x:v>5</x:v>
      </x:c>
      <x:c r="N28" s="44" t="n">
        <x:f>(H28*25%+I28*20%+J28*20%+K28*15%+L28*10%+M28*10%)*20</x:f>
        <x:v>91</x:v>
      </x:c>
      <x:c r="O28" s="10" t="str">
        <x:f>IF(N28&gt;=88,"High",IF(N28&gt;=78,"Medium","Long-term"))</x:f>
        <x:v>High</x:v>
      </x:c>
      <x:c r="P28" s="10" t="str">
        <x:v>Analyst hypothesis based on audience timing, natural referral moment, strategic complementarity, likely decision complexity, trust, and potential user volume. Validate through discovery.</x:v>
      </x:c>
    </x:row>
    <x:row r="29" ht="34" customHeight="1">
      <x:c r="A29" s="15" t="str">
        <x:v>Atrium Health Women's Care</x:v>
      </x:c>
      <x:c r="B29" s="10" t="str">
        <x:v>OB-GYN / Women's Health Practice</x:v>
      </x:c>
      <x:c r="C29" s="10" t="str">
        <x:v>Carolinas</x:v>
      </x:c>
      <x:c r="D29" s="10" t="str">
        <x:v>Regional women’s-health network with OB-GYN and maternity services.</x:v>
      </x:c>
      <x:c r="E29" s="10" t="str">
        <x:v>Health-system website</x:v>
      </x:c>
      <x:c r="F29" s="10" t="str">
        <x:v>https://atriumhealth.org/medical-services/specialty-care/womens-care</x:v>
      </x:c>
      <x:c r="G29" s="16" t="str">
        <x:v>Seed candidate – verify current contact before outreach</x:v>
      </x:c>
      <x:c r="H29" s="43" t="n">
        <x:v>5</x:v>
      </x:c>
      <x:c r="I29" s="43" t="n">
        <x:v>5</x:v>
      </x:c>
      <x:c r="J29" s="43" t="n">
        <x:v>5</x:v>
      </x:c>
      <x:c r="K29" s="43" t="n">
        <x:v>2</x:v>
      </x:c>
      <x:c r="L29" s="43" t="n">
        <x:v>5</x:v>
      </x:c>
      <x:c r="M29" s="43" t="n">
        <x:v>5</x:v>
      </x:c>
      <x:c r="N29" s="44" t="n">
        <x:f>(H29*25%+I29*20%+J29*20%+K29*15%+L29*10%+M29*10%)*20</x:f>
        <x:v>91</x:v>
      </x:c>
      <x:c r="O29" s="10" t="str">
        <x:f>IF(N29&gt;=88,"High",IF(N29&gt;=78,"Medium","Long-term"))</x:f>
        <x:v>High</x:v>
      </x:c>
      <x:c r="P29" s="10" t="str">
        <x:v>Analyst hypothesis based on audience timing, natural referral moment, strategic complementarity, likely decision complexity, trust, and potential user volume. Validate through discovery.</x:v>
      </x:c>
    </x:row>
    <x:row r="30" ht="34" customHeight="1">
      <x:c r="A30" s="15" t="str">
        <x:v>Novant Health WomanCare</x:v>
      </x:c>
      <x:c r="B30" s="10" t="str">
        <x:v>OB-GYN / Women's Health Practice</x:v>
      </x:c>
      <x:c r="C30" s="10" t="str">
        <x:v>North Carolina</x:v>
      </x:c>
      <x:c r="D30" s="10" t="str">
        <x:v>Women’s-health network serving prenatal and postpartum patients.</x:v>
      </x:c>
      <x:c r="E30" s="10" t="str">
        <x:v>Health-system website</x:v>
      </x:c>
      <x:c r="F30" s="10" t="str">
        <x:v>https://www.novanthealth.org/services/womens-health/</x:v>
      </x:c>
      <x:c r="G30" s="16" t="str">
        <x:v>Seed candidate – verify current contact before outreach</x:v>
      </x:c>
      <x:c r="H30" s="43" t="n">
        <x:v>5</x:v>
      </x:c>
      <x:c r="I30" s="43" t="n">
        <x:v>5</x:v>
      </x:c>
      <x:c r="J30" s="43" t="n">
        <x:v>5</x:v>
      </x:c>
      <x:c r="K30" s="43" t="n">
        <x:v>2</x:v>
      </x:c>
      <x:c r="L30" s="43" t="n">
        <x:v>5</x:v>
      </x:c>
      <x:c r="M30" s="43" t="n">
        <x:v>5</x:v>
      </x:c>
      <x:c r="N30" s="44" t="n">
        <x:f>(H30*25%+I30*20%+J30*20%+K30*15%+L30*10%+M30*10%)*20</x:f>
        <x:v>91</x:v>
      </x:c>
      <x:c r="O30" s="10" t="str">
        <x:f>IF(N30&gt;=88,"High",IF(N30&gt;=78,"Medium","Long-term"))</x:f>
        <x:v>High</x:v>
      </x:c>
      <x:c r="P30" s="10" t="str">
        <x:v>Analyst hypothesis based on audience timing, natural referral moment, strategic complementarity, likely decision complexity, trust, and potential user volume. Validate through discovery.</x:v>
      </x:c>
    </x:row>
    <x:row r="31" ht="34" customHeight="1">
      <x:c r="A31" s="15" t="str">
        <x:v>Duke Health Obstetrics and Gynecology</x:v>
      </x:c>
      <x:c r="B31" s="10" t="str">
        <x:v>OB-GYN / Women's Health Practice</x:v>
      </x:c>
      <x:c r="C31" s="10" t="str">
        <x:v>North Carolina</x:v>
      </x:c>
      <x:c r="D31" s="10" t="str">
        <x:v>Academic OB-GYN practice with pregnancy-care audience.</x:v>
      </x:c>
      <x:c r="E31" s="10" t="str">
        <x:v>Health-system website</x:v>
      </x:c>
      <x:c r="F31" s="10" t="str">
        <x:v>https://www.dukehealth.org/treatments/obstetrics-and-gynecology</x:v>
      </x:c>
      <x:c r="G31" s="16" t="str">
        <x:v>Seed candidate – verify current contact before outreach</x:v>
      </x:c>
      <x:c r="H31" s="43" t="n">
        <x:v>5</x:v>
      </x:c>
      <x:c r="I31" s="43" t="n">
        <x:v>5</x:v>
      </x:c>
      <x:c r="J31" s="43" t="n">
        <x:v>5</x:v>
      </x:c>
      <x:c r="K31" s="43" t="n">
        <x:v>2</x:v>
      </x:c>
      <x:c r="L31" s="43" t="n">
        <x:v>5</x:v>
      </x:c>
      <x:c r="M31" s="43" t="n">
        <x:v>5</x:v>
      </x:c>
      <x:c r="N31" s="44" t="n">
        <x:f>(H31*25%+I31*20%+J31*20%+K31*15%+L31*10%+M31*10%)*20</x:f>
        <x:v>91</x:v>
      </x:c>
      <x:c r="O31" s="10" t="str">
        <x:f>IF(N31&gt;=88,"High",IF(N31&gt;=78,"Medium","Long-term"))</x:f>
        <x:v>High</x:v>
      </x:c>
      <x:c r="P31" s="10" t="str">
        <x:v>Analyst hypothesis based on audience timing, natural referral moment, strategic complementarity, likely decision complexity, trust, and potential user volume. Validate through discovery.</x:v>
      </x:c>
    </x:row>
    <x:row r="32" ht="34" customHeight="1">
      <x:c r="A32" s="15" t="str">
        <x:v>Shady Grove Fertility</x:v>
      </x:c>
      <x:c r="B32" s="10" t="str">
        <x:v>Fertility Clinic / Network</x:v>
      </x:c>
      <x:c r="C32" s="10" t="str">
        <x:v>Multi-state</x:v>
      </x:c>
      <x:c r="D32" s="10" t="str">
        <x:v>Large fertility network; high-intent TTC audience.</x:v>
      </x:c>
      <x:c r="E32" s="10" t="str">
        <x:v>Company website</x:v>
      </x:c>
      <x:c r="F32" s="10" t="str">
        <x:v>https://www.shadygrovefertility.com/</x:v>
      </x:c>
      <x:c r="G32" s="16" t="str">
        <x:v>Seed candidate – verify current contact before outreach</x:v>
      </x:c>
      <x:c r="H32" s="43" t="n">
        <x:v>4</x:v>
      </x:c>
      <x:c r="I32" s="43" t="n">
        <x:v>3</x:v>
      </x:c>
      <x:c r="J32" s="43" t="n">
        <x:v>4</x:v>
      </x:c>
      <x:c r="K32" s="43" t="n">
        <x:v>3</x:v>
      </x:c>
      <x:c r="L32" s="43" t="n">
        <x:v>5</x:v>
      </x:c>
      <x:c r="M32" s="43" t="n">
        <x:v>4</x:v>
      </x:c>
      <x:c r="N32" s="44" t="n">
        <x:f>(H32*25%+I32*20%+J32*20%+K32*15%+L32*10%+M32*10%)*20</x:f>
        <x:v>75.00000000000001</x:v>
      </x:c>
      <x:c r="O32" s="10" t="str">
        <x:f>IF(N32&gt;=88,"High",IF(N32&gt;=78,"Medium","Long-term"))</x:f>
        <x:v>Long-term</x:v>
      </x:c>
      <x:c r="P32" s="10" t="str">
        <x:v>Analyst hypothesis based on audience timing, natural referral moment, strategic complementarity, likely decision complexity, trust, and potential user volume. Validate through discovery.</x:v>
      </x:c>
    </x:row>
    <x:row r="33" ht="34" customHeight="1">
      <x:c r="A33" s="15" t="str">
        <x:v>Kindbody</x:v>
      </x:c>
      <x:c r="B33" s="10" t="str">
        <x:v>Fertility Clinic / Network</x:v>
      </x:c>
      <x:c r="C33" s="10" t="str">
        <x:v>Multi-state</x:v>
      </x:c>
      <x:c r="D33" s="10" t="str">
        <x:v>Fertility clinic network and employer benefit provider.</x:v>
      </x:c>
      <x:c r="E33" s="10" t="str">
        <x:v>Company website</x:v>
      </x:c>
      <x:c r="F33" s="10" t="str">
        <x:v>https://kindbody.com/</x:v>
      </x:c>
      <x:c r="G33" s="16" t="str">
        <x:v>Seed candidate – verify current contact before outreach</x:v>
      </x:c>
      <x:c r="H33" s="43" t="n">
        <x:v>4</x:v>
      </x:c>
      <x:c r="I33" s="43" t="n">
        <x:v>3</x:v>
      </x:c>
      <x:c r="J33" s="43" t="n">
        <x:v>4</x:v>
      </x:c>
      <x:c r="K33" s="43" t="n">
        <x:v>3</x:v>
      </x:c>
      <x:c r="L33" s="43" t="n">
        <x:v>5</x:v>
      </x:c>
      <x:c r="M33" s="43" t="n">
        <x:v>4</x:v>
      </x:c>
      <x:c r="N33" s="44" t="n">
        <x:f>(H33*25%+I33*20%+J33*20%+K33*15%+L33*10%+M33*10%)*20</x:f>
        <x:v>75.00000000000001</x:v>
      </x:c>
      <x:c r="O33" s="10" t="str">
        <x:f>IF(N33&gt;=88,"High",IF(N33&gt;=78,"Medium","Long-term"))</x:f>
        <x:v>Long-term</x:v>
      </x:c>
      <x:c r="P33" s="10" t="str">
        <x:v>Analyst hypothesis based on audience timing, natural referral moment, strategic complementarity, likely decision complexity, trust, and potential user volume. Validate through discovery.</x:v>
      </x:c>
    </x:row>
    <x:row r="34" ht="34" customHeight="1">
      <x:c r="A34" s="15" t="str">
        <x:v>CCRM Fertility</x:v>
      </x:c>
      <x:c r="B34" s="10" t="str">
        <x:v>Fertility Clinic / Network</x:v>
      </x:c>
      <x:c r="C34" s="10" t="str">
        <x:v>Multi-state</x:v>
      </x:c>
      <x:c r="D34" s="10" t="str">
        <x:v>National fertility clinic network.</x:v>
      </x:c>
      <x:c r="E34" s="10" t="str">
        <x:v>Company website</x:v>
      </x:c>
      <x:c r="F34" s="10" t="str">
        <x:v>https://www.ccrmivf.com/</x:v>
      </x:c>
      <x:c r="G34" s="16" t="str">
        <x:v>Seed candidate – verify current contact before outreach</x:v>
      </x:c>
      <x:c r="H34" s="43" t="n">
        <x:v>4</x:v>
      </x:c>
      <x:c r="I34" s="43" t="n">
        <x:v>3</x:v>
      </x:c>
      <x:c r="J34" s="43" t="n">
        <x:v>4</x:v>
      </x:c>
      <x:c r="K34" s="43" t="n">
        <x:v>3</x:v>
      </x:c>
      <x:c r="L34" s="43" t="n">
        <x:v>5</x:v>
      </x:c>
      <x:c r="M34" s="43" t="n">
        <x:v>4</x:v>
      </x:c>
      <x:c r="N34" s="44" t="n">
        <x:f>(H34*25%+I34*20%+J34*20%+K34*15%+L34*10%+M34*10%)*20</x:f>
        <x:v>75.00000000000001</x:v>
      </x:c>
      <x:c r="O34" s="10" t="str">
        <x:f>IF(N34&gt;=88,"High",IF(N34&gt;=78,"Medium","Long-term"))</x:f>
        <x:v>Long-term</x:v>
      </x:c>
      <x:c r="P34" s="10" t="str">
        <x:v>Analyst hypothesis based on audience timing, natural referral moment, strategic complementarity, likely decision complexity, trust, and potential user volume. Validate through discovery.</x:v>
      </x:c>
    </x:row>
    <x:row r="35" ht="34" customHeight="1">
      <x:c r="A35" s="15" t="str">
        <x:v>RMA of New York</x:v>
      </x:c>
      <x:c r="B35" s="10" t="str">
        <x:v>Fertility Clinic / Network</x:v>
      </x:c>
      <x:c r="C35" s="10" t="str">
        <x:v>New York, NY</x:v>
      </x:c>
      <x:c r="D35" s="10" t="str">
        <x:v>Large fertility practice with high-intent family-building users.</x:v>
      </x:c>
      <x:c r="E35" s="10" t="str">
        <x:v>Company website</x:v>
      </x:c>
      <x:c r="F35" s="10" t="str">
        <x:v>https://www.rmany.com/</x:v>
      </x:c>
      <x:c r="G35" s="16" t="str">
        <x:v>Seed candidate – verify current contact before outreach</x:v>
      </x:c>
      <x:c r="H35" s="43" t="n">
        <x:v>4</x:v>
      </x:c>
      <x:c r="I35" s="43" t="n">
        <x:v>3</x:v>
      </x:c>
      <x:c r="J35" s="43" t="n">
        <x:v>4</x:v>
      </x:c>
      <x:c r="K35" s="43" t="n">
        <x:v>3</x:v>
      </x:c>
      <x:c r="L35" s="43" t="n">
        <x:v>5</x:v>
      </x:c>
      <x:c r="M35" s="43" t="n">
        <x:v>4</x:v>
      </x:c>
      <x:c r="N35" s="44" t="n">
        <x:f>(H35*25%+I35*20%+J35*20%+K35*15%+L35*10%+M35*10%)*20</x:f>
        <x:v>75.00000000000001</x:v>
      </x:c>
      <x:c r="O35" s="10" t="str">
        <x:f>IF(N35&gt;=88,"High",IF(N35&gt;=78,"Medium","Long-term"))</x:f>
        <x:v>Long-term</x:v>
      </x:c>
      <x:c r="P35" s="10" t="str">
        <x:v>Analyst hypothesis based on audience timing, natural referral moment, strategic complementarity, likely decision complexity, trust, and potential user volume. Validate through discovery.</x:v>
      </x:c>
    </x:row>
    <x:row r="36" ht="34" customHeight="1">
      <x:c r="A36" s="15" t="str">
        <x:v>RMA New Jersey</x:v>
      </x:c>
      <x:c r="B36" s="10" t="str">
        <x:v>Fertility Clinic / Network</x:v>
      </x:c>
      <x:c r="C36" s="10" t="str">
        <x:v>New Jersey</x:v>
      </x:c>
      <x:c r="D36" s="10" t="str">
        <x:v>Major fertility practice serving TTC/IVF patients.</x:v>
      </x:c>
      <x:c r="E36" s="10" t="str">
        <x:v>Company website</x:v>
      </x:c>
      <x:c r="F36" s="10" t="str">
        <x:v>https://rmanetwork.com/</x:v>
      </x:c>
      <x:c r="G36" s="16" t="str">
        <x:v>Seed candidate – verify current contact before outreach</x:v>
      </x:c>
      <x:c r="H36" s="43" t="n">
        <x:v>4</x:v>
      </x:c>
      <x:c r="I36" s="43" t="n">
        <x:v>3</x:v>
      </x:c>
      <x:c r="J36" s="43" t="n">
        <x:v>4</x:v>
      </x:c>
      <x:c r="K36" s="43" t="n">
        <x:v>2</x:v>
      </x:c>
      <x:c r="L36" s="43" t="n">
        <x:v>5</x:v>
      </x:c>
      <x:c r="M36" s="43" t="n">
        <x:v>5</x:v>
      </x:c>
      <x:c r="N36" s="44" t="n">
        <x:f>(H36*25%+I36*20%+J36*20%+K36*15%+L36*10%+M36*10%)*20</x:f>
        <x:v>74</x:v>
      </x:c>
      <x:c r="O36" s="10" t="str">
        <x:f>IF(N36&gt;=88,"High",IF(N36&gt;=78,"Medium","Long-term"))</x:f>
        <x:v>Long-term</x:v>
      </x:c>
      <x:c r="P36" s="10" t="str">
        <x:v>Analyst hypothesis based on audience timing, natural referral moment, strategic complementarity, likely decision complexity, trust, and potential user volume. Validate through discovery.</x:v>
      </x:c>
    </x:row>
    <x:row r="37" ht="34" customHeight="1">
      <x:c r="A37" s="15" t="str">
        <x:v>HRC Fertility</x:v>
      </x:c>
      <x:c r="B37" s="10" t="str">
        <x:v>Fertility Clinic / Network</x:v>
      </x:c>
      <x:c r="C37" s="10" t="str">
        <x:v>California</x:v>
      </x:c>
      <x:c r="D37" s="10" t="str">
        <x:v>Multi-location fertility clinic network.</x:v>
      </x:c>
      <x:c r="E37" s="10" t="str">
        <x:v>Company website</x:v>
      </x:c>
      <x:c r="F37" s="10" t="str">
        <x:v>https://www.havingbabies.com/</x:v>
      </x:c>
      <x:c r="G37" s="16" t="str">
        <x:v>Seed candidate – verify current contact before outreach</x:v>
      </x:c>
      <x:c r="H37" s="43" t="n">
        <x:v>4</x:v>
      </x:c>
      <x:c r="I37" s="43" t="n">
        <x:v>3</x:v>
      </x:c>
      <x:c r="J37" s="43" t="n">
        <x:v>4</x:v>
      </x:c>
      <x:c r="K37" s="43" t="n">
        <x:v>3</x:v>
      </x:c>
      <x:c r="L37" s="43" t="n">
        <x:v>5</x:v>
      </x:c>
      <x:c r="M37" s="43" t="n">
        <x:v>4</x:v>
      </x:c>
      <x:c r="N37" s="44" t="n">
        <x:f>(H37*25%+I37*20%+J37*20%+K37*15%+L37*10%+M37*10%)*20</x:f>
        <x:v>75.00000000000001</x:v>
      </x:c>
      <x:c r="O37" s="10" t="str">
        <x:f>IF(N37&gt;=88,"High",IF(N37&gt;=78,"Medium","Long-term"))</x:f>
        <x:v>Long-term</x:v>
      </x:c>
      <x:c r="P37" s="10" t="str">
        <x:v>Analyst hypothesis based on audience timing, natural referral moment, strategic complementarity, likely decision complexity, trust, and potential user volume. Validate through discovery.</x:v>
      </x:c>
    </x:row>
    <x:row r="38" ht="34" customHeight="1">
      <x:c r="A38" s="15" t="str">
        <x:v>Boston IVF</x:v>
      </x:c>
      <x:c r="B38" s="10" t="str">
        <x:v>Fertility Clinic / Network</x:v>
      </x:c>
      <x:c r="C38" s="10" t="str">
        <x:v>Northeast</x:v>
      </x:c>
      <x:c r="D38" s="10" t="str">
        <x:v>Large fertility network with multiple locations.</x:v>
      </x:c>
      <x:c r="E38" s="10" t="str">
        <x:v>Company website</x:v>
      </x:c>
      <x:c r="F38" s="10" t="str">
        <x:v>https://www.bostonivf.com/</x:v>
      </x:c>
      <x:c r="G38" s="16" t="str">
        <x:v>Seed candidate – verify current contact before outreach</x:v>
      </x:c>
      <x:c r="H38" s="43" t="n">
        <x:v>4</x:v>
      </x:c>
      <x:c r="I38" s="43" t="n">
        <x:v>3</x:v>
      </x:c>
      <x:c r="J38" s="43" t="n">
        <x:v>4</x:v>
      </x:c>
      <x:c r="K38" s="43" t="n">
        <x:v>3</x:v>
      </x:c>
      <x:c r="L38" s="43" t="n">
        <x:v>5</x:v>
      </x:c>
      <x:c r="M38" s="43" t="n">
        <x:v>4</x:v>
      </x:c>
      <x:c r="N38" s="44" t="n">
        <x:f>(H38*25%+I38*20%+J38*20%+K38*15%+L38*10%+M38*10%)*20</x:f>
        <x:v>75.00000000000001</x:v>
      </x:c>
      <x:c r="O38" s="10" t="str">
        <x:f>IF(N38&gt;=88,"High",IF(N38&gt;=78,"Medium","Long-term"))</x:f>
        <x:v>Long-term</x:v>
      </x:c>
      <x:c r="P38" s="10" t="str">
        <x:v>Analyst hypothesis based on audience timing, natural referral moment, strategic complementarity, likely decision complexity, trust, and potential user volume. Validate through discovery.</x:v>
      </x:c>
    </x:row>
    <x:row r="39" ht="34" customHeight="1">
      <x:c r="A39" s="15" t="str">
        <x:v>Main Line Fertility</x:v>
      </x:c>
      <x:c r="B39" s="10" t="str">
        <x:v>Fertility Clinic / Network</x:v>
      </x:c>
      <x:c r="C39" s="10" t="str">
        <x:v>Pennsylvania</x:v>
      </x:c>
      <x:c r="D39" s="10" t="str">
        <x:v>Multi-location fertility practice.</x:v>
      </x:c>
      <x:c r="E39" s="10" t="str">
        <x:v>Company website</x:v>
      </x:c>
      <x:c r="F39" s="10" t="str">
        <x:v>https://www.mainlinefertility.com/</x:v>
      </x:c>
      <x:c r="G39" s="16" t="str">
        <x:v>Seed candidate – verify current contact before outreach</x:v>
      </x:c>
      <x:c r="H39" s="43" t="n">
        <x:v>4</x:v>
      </x:c>
      <x:c r="I39" s="43" t="n">
        <x:v>3</x:v>
      </x:c>
      <x:c r="J39" s="43" t="n">
        <x:v>4</x:v>
      </x:c>
      <x:c r="K39" s="43" t="n">
        <x:v>3</x:v>
      </x:c>
      <x:c r="L39" s="43" t="n">
        <x:v>5</x:v>
      </x:c>
      <x:c r="M39" s="43" t="n">
        <x:v>4</x:v>
      </x:c>
      <x:c r="N39" s="44" t="n">
        <x:f>(H39*25%+I39*20%+J39*20%+K39*15%+L39*10%+M39*10%)*20</x:f>
        <x:v>75.00000000000001</x:v>
      </x:c>
      <x:c r="O39" s="10" t="str">
        <x:f>IF(N39&gt;=88,"High",IF(N39&gt;=78,"Medium","Long-term"))</x:f>
        <x:v>Long-term</x:v>
      </x:c>
      <x:c r="P39" s="10" t="str">
        <x:v>Analyst hypothesis based on audience timing, natural referral moment, strategic complementarity, likely decision complexity, trust, and potential user volume. Validate through discovery.</x:v>
      </x:c>
    </x:row>
    <x:row r="40" ht="34" customHeight="1">
      <x:c r="A40" s="15" t="str">
        <x:v>IVFMD</x:v>
      </x:c>
      <x:c r="B40" s="10" t="str">
        <x:v>Fertility Clinic / Network</x:v>
      </x:c>
      <x:c r="C40" s="10" t="str">
        <x:v>Florida</x:v>
      </x:c>
      <x:c r="D40" s="10" t="str">
        <x:v>Large fertility clinic network serving IVF patients.</x:v>
      </x:c>
      <x:c r="E40" s="10" t="str">
        <x:v>Company website</x:v>
      </x:c>
      <x:c r="F40" s="10" t="str">
        <x:v>https://www.ivfmd.com/</x:v>
      </x:c>
      <x:c r="G40" s="16" t="str">
        <x:v>Seed candidate – verify current contact before outreach</x:v>
      </x:c>
      <x:c r="H40" s="43" t="n">
        <x:v>4</x:v>
      </x:c>
      <x:c r="I40" s="43" t="n">
        <x:v>3</x:v>
      </x:c>
      <x:c r="J40" s="43" t="n">
        <x:v>4</x:v>
      </x:c>
      <x:c r="K40" s="43" t="n">
        <x:v>3</x:v>
      </x:c>
      <x:c r="L40" s="43" t="n">
        <x:v>5</x:v>
      </x:c>
      <x:c r="M40" s="43" t="n">
        <x:v>4</x:v>
      </x:c>
      <x:c r="N40" s="44" t="n">
        <x:f>(H40*25%+I40*20%+J40*20%+K40*15%+L40*10%+M40*10%)*20</x:f>
        <x:v>75.00000000000001</x:v>
      </x:c>
      <x:c r="O40" s="10" t="str">
        <x:f>IF(N40&gt;=88,"High",IF(N40&gt;=78,"Medium","Long-term"))</x:f>
        <x:v>Long-term</x:v>
      </x:c>
      <x:c r="P40" s="10" t="str">
        <x:v>Analyst hypothesis based on audience timing, natural referral moment, strategic complementarity, likely decision complexity, trust, and potential user volume. Validate through discovery.</x:v>
      </x:c>
    </x:row>
    <x:row r="41" ht="34" customHeight="1">
      <x:c r="A41" s="15" t="str">
        <x:v>Fertility Centers of Illinois</x:v>
      </x:c>
      <x:c r="B41" s="10" t="str">
        <x:v>Fertility Clinic / Network</x:v>
      </x:c>
      <x:c r="C41" s="10" t="str">
        <x:v>Illinois</x:v>
      </x:c>
      <x:c r="D41" s="10" t="str">
        <x:v>Large fertility network with multiple locations.</x:v>
      </x:c>
      <x:c r="E41" s="10" t="str">
        <x:v>Company website</x:v>
      </x:c>
      <x:c r="F41" s="10" t="str">
        <x:v>https://www.fcionline.com/</x:v>
      </x:c>
      <x:c r="G41" s="16" t="str">
        <x:v>Seed candidate – verify current contact before outreach</x:v>
      </x:c>
      <x:c r="H41" s="43" t="n">
        <x:v>4</x:v>
      </x:c>
      <x:c r="I41" s="43" t="n">
        <x:v>3</x:v>
      </x:c>
      <x:c r="J41" s="43" t="n">
        <x:v>4</x:v>
      </x:c>
      <x:c r="K41" s="43" t="n">
        <x:v>3</x:v>
      </x:c>
      <x:c r="L41" s="43" t="n">
        <x:v>5</x:v>
      </x:c>
      <x:c r="M41" s="43" t="n">
        <x:v>4</x:v>
      </x:c>
      <x:c r="N41" s="44" t="n">
        <x:f>(H41*25%+I41*20%+J41*20%+K41*15%+L41*10%+M41*10%)*20</x:f>
        <x:v>75.00000000000001</x:v>
      </x:c>
      <x:c r="O41" s="10" t="str">
        <x:f>IF(N41&gt;=88,"High",IF(N41&gt;=78,"Medium","Long-term"))</x:f>
        <x:v>Long-term</x:v>
      </x:c>
      <x:c r="P41" s="10" t="str">
        <x:v>Analyst hypothesis based on audience timing, natural referral moment, strategic complementarity, likely decision complexity, trust, and potential user volume. Validate through discovery.</x:v>
      </x:c>
    </x:row>
    <x:row r="42" ht="34" customHeight="1">
      <x:c r="A42" s="15" t="str">
        <x:v>Spring Fertility</x:v>
      </x:c>
      <x:c r="B42" s="10" t="str">
        <x:v>Fertility Clinic / Network</x:v>
      </x:c>
      <x:c r="C42" s="10" t="str">
        <x:v>CA / NY</x:v>
      </x:c>
      <x:c r="D42" s="10" t="str">
        <x:v>Modern fertility clinic brand with urban patient base.</x:v>
      </x:c>
      <x:c r="E42" s="10" t="str">
        <x:v>Company website</x:v>
      </x:c>
      <x:c r="F42" s="10" t="str">
        <x:v>https://springfertility.com/</x:v>
      </x:c>
      <x:c r="G42" s="16" t="str">
        <x:v>Seed candidate – verify current contact before outreach</x:v>
      </x:c>
      <x:c r="H42" s="43" t="n">
        <x:v>4</x:v>
      </x:c>
      <x:c r="I42" s="43" t="n">
        <x:v>3</x:v>
      </x:c>
      <x:c r="J42" s="43" t="n">
        <x:v>4</x:v>
      </x:c>
      <x:c r="K42" s="43" t="n">
        <x:v>3</x:v>
      </x:c>
      <x:c r="L42" s="43" t="n">
        <x:v>5</x:v>
      </x:c>
      <x:c r="M42" s="43" t="n">
        <x:v>4</x:v>
      </x:c>
      <x:c r="N42" s="44" t="n">
        <x:f>(H42*25%+I42*20%+J42*20%+K42*15%+L42*10%+M42*10%)*20</x:f>
        <x:v>75.00000000000001</x:v>
      </x:c>
      <x:c r="O42" s="10" t="str">
        <x:f>IF(N42&gt;=88,"High",IF(N42&gt;=78,"Medium","Long-term"))</x:f>
        <x:v>Long-term</x:v>
      </x:c>
      <x:c r="P42" s="10" t="str">
        <x:v>Analyst hypothesis based on audience timing, natural referral moment, strategic complementarity, likely decision complexity, trust, and potential user volume. Validate through discovery.</x:v>
      </x:c>
    </x:row>
    <x:row r="43" ht="34" customHeight="1">
      <x:c r="A43" s="15" t="str">
        <x:v>Pacific Fertility Center Los Angeles</x:v>
      </x:c>
      <x:c r="B43" s="10" t="str">
        <x:v>Fertility Clinic / Network</x:v>
      </x:c>
      <x:c r="C43" s="10" t="str">
        <x:v>Los Angeles, CA</x:v>
      </x:c>
      <x:c r="D43" s="10" t="str">
        <x:v>Established fertility center serving TTC/IVF patients.</x:v>
      </x:c>
      <x:c r="E43" s="10" t="str">
        <x:v>Company website</x:v>
      </x:c>
      <x:c r="F43" s="10" t="str">
        <x:v>https://www.pfcla.com/</x:v>
      </x:c>
      <x:c r="G43" s="16" t="str">
        <x:v>Seed candidate – verify current contact before outreach</x:v>
      </x:c>
      <x:c r="H43" s="43" t="n">
        <x:v>4</x:v>
      </x:c>
      <x:c r="I43" s="43" t="n">
        <x:v>3</x:v>
      </x:c>
      <x:c r="J43" s="43" t="n">
        <x:v>4</x:v>
      </x:c>
      <x:c r="K43" s="43" t="n">
        <x:v>3</x:v>
      </x:c>
      <x:c r="L43" s="43" t="n">
        <x:v>5</x:v>
      </x:c>
      <x:c r="M43" s="43" t="n">
        <x:v>4</x:v>
      </x:c>
      <x:c r="N43" s="44" t="n">
        <x:f>(H43*25%+I43*20%+J43*20%+K43*15%+L43*10%+M43*10%)*20</x:f>
        <x:v>75.00000000000001</x:v>
      </x:c>
      <x:c r="O43" s="10" t="str">
        <x:f>IF(N43&gt;=88,"High",IF(N43&gt;=78,"Medium","Long-term"))</x:f>
        <x:v>Long-term</x:v>
      </x:c>
      <x:c r="P43" s="10" t="str">
        <x:v>Analyst hypothesis based on audience timing, natural referral moment, strategic complementarity, likely decision complexity, trust, and potential user volume. Validate through discovery.</x:v>
      </x:c>
    </x:row>
    <x:row r="44" ht="34" customHeight="1">
      <x:c r="A44" s="15" t="str">
        <x:v>Pinnacle Fertility</x:v>
      </x:c>
      <x:c r="B44" s="10" t="str">
        <x:v>Fertility Clinic / Network</x:v>
      </x:c>
      <x:c r="C44" s="10" t="str">
        <x:v>Multi-state</x:v>
      </x:c>
      <x:c r="D44" s="10" t="str">
        <x:v>Growing fertility network with multiple clinics.</x:v>
      </x:c>
      <x:c r="E44" s="10" t="str">
        <x:v>Company website</x:v>
      </x:c>
      <x:c r="F44" s="10" t="str">
        <x:v>https://www.pinnaclefertility.com/</x:v>
      </x:c>
      <x:c r="G44" s="16" t="str">
        <x:v>Seed candidate – verify current contact before outreach</x:v>
      </x:c>
      <x:c r="H44" s="43" t="n">
        <x:v>4</x:v>
      </x:c>
      <x:c r="I44" s="43" t="n">
        <x:v>3</x:v>
      </x:c>
      <x:c r="J44" s="43" t="n">
        <x:v>4</x:v>
      </x:c>
      <x:c r="K44" s="43" t="n">
        <x:v>3</x:v>
      </x:c>
      <x:c r="L44" s="43" t="n">
        <x:v>5</x:v>
      </x:c>
      <x:c r="M44" s="43" t="n">
        <x:v>4</x:v>
      </x:c>
      <x:c r="N44" s="44" t="n">
        <x:f>(H44*25%+I44*20%+J44*20%+K44*15%+L44*10%+M44*10%)*20</x:f>
        <x:v>75.00000000000001</x:v>
      </x:c>
      <x:c r="O44" s="10" t="str">
        <x:f>IF(N44&gt;=88,"High",IF(N44&gt;=78,"Medium","Long-term"))</x:f>
        <x:v>Long-term</x:v>
      </x:c>
      <x:c r="P44" s="10" t="str">
        <x:v>Analyst hypothesis based on audience timing, natural referral moment, strategic complementarity, likely decision complexity, trust, and potential user volume. Validate through discovery.</x:v>
      </x:c>
    </x:row>
    <x:row r="45" ht="34" customHeight="1">
      <x:c r="A45" s="15" t="str">
        <x:v>Prelude Fertility</x:v>
      </x:c>
      <x:c r="B45" s="10" t="str">
        <x:v>Fertility Clinic / Network</x:v>
      </x:c>
      <x:c r="C45" s="10" t="str">
        <x:v>National</x:v>
      </x:c>
      <x:c r="D45" s="10" t="str">
        <x:v>Fertility network spanning multiple clinic brands.</x:v>
      </x:c>
      <x:c r="E45" s="10" t="str">
        <x:v>Company website</x:v>
      </x:c>
      <x:c r="F45" s="10" t="str">
        <x:v>https://www.preludefertility.com/</x:v>
      </x:c>
      <x:c r="G45" s="16" t="str">
        <x:v>Seed candidate – verify current contact before outreach</x:v>
      </x:c>
      <x:c r="H45" s="43" t="n">
        <x:v>4</x:v>
      </x:c>
      <x:c r="I45" s="43" t="n">
        <x:v>3</x:v>
      </x:c>
      <x:c r="J45" s="43" t="n">
        <x:v>4</x:v>
      </x:c>
      <x:c r="K45" s="43" t="n">
        <x:v>3</x:v>
      </x:c>
      <x:c r="L45" s="43" t="n">
        <x:v>5</x:v>
      </x:c>
      <x:c r="M45" s="43" t="n">
        <x:v>4</x:v>
      </x:c>
      <x:c r="N45" s="44" t="n">
        <x:f>(H45*25%+I45*20%+J45*20%+K45*15%+L45*10%+M45*10%)*20</x:f>
        <x:v>75.00000000000001</x:v>
      </x:c>
      <x:c r="O45" s="10" t="str">
        <x:f>IF(N45&gt;=88,"High",IF(N45&gt;=78,"Medium","Long-term"))</x:f>
        <x:v>Long-term</x:v>
      </x:c>
      <x:c r="P45" s="10" t="str">
        <x:v>Analyst hypothesis based on audience timing, natural referral moment, strategic complementarity, likely decision complexity, trust, and potential user volume. Validate through discovery.</x:v>
      </x:c>
    </x:row>
    <x:row r="46" ht="34" customHeight="1">
      <x:c r="A46" s="15" t="str">
        <x:v>Aspire Houston Fertility Institute</x:v>
      </x:c>
      <x:c r="B46" s="10" t="str">
        <x:v>Fertility Clinic / Network</x:v>
      </x:c>
      <x:c r="C46" s="10" t="str">
        <x:v>Houston, TX</x:v>
      </x:c>
      <x:c r="D46" s="10" t="str">
        <x:v>Large fertility provider within Prelude network.</x:v>
      </x:c>
      <x:c r="E46" s="10" t="str">
        <x:v>Company website</x:v>
      </x:c>
      <x:c r="F46" s="10" t="str">
        <x:v>https://www.aspirehfi.com/</x:v>
      </x:c>
      <x:c r="G46" s="16" t="str">
        <x:v>Seed candidate – verify current contact before outreach</x:v>
      </x:c>
      <x:c r="H46" s="43" t="n">
        <x:v>4</x:v>
      </x:c>
      <x:c r="I46" s="43" t="n">
        <x:v>3</x:v>
      </x:c>
      <x:c r="J46" s="43" t="n">
        <x:v>4</x:v>
      </x:c>
      <x:c r="K46" s="43" t="n">
        <x:v>3</x:v>
      </x:c>
      <x:c r="L46" s="43" t="n">
        <x:v>5</x:v>
      </x:c>
      <x:c r="M46" s="43" t="n">
        <x:v>4</x:v>
      </x:c>
      <x:c r="N46" s="44" t="n">
        <x:f>(H46*25%+I46*20%+J46*20%+K46*15%+L46*10%+M46*10%)*20</x:f>
        <x:v>75.00000000000001</x:v>
      </x:c>
      <x:c r="O46" s="10" t="str">
        <x:f>IF(N46&gt;=88,"High",IF(N46&gt;=78,"Medium","Long-term"))</x:f>
        <x:v>Long-term</x:v>
      </x:c>
      <x:c r="P46" s="10" t="str">
        <x:v>Analyst hypothesis based on audience timing, natural referral moment, strategic complementarity, likely decision complexity, trust, and potential user volume. Validate through discovery.</x:v>
      </x:c>
    </x:row>
    <x:row r="47" ht="34" customHeight="1">
      <x:c r="A47" s="15" t="str">
        <x:v>Advanced Fertility Center of Chicago</x:v>
      </x:c>
      <x:c r="B47" s="10" t="str">
        <x:v>Fertility Clinic / Network</x:v>
      </x:c>
      <x:c r="C47" s="10" t="str">
        <x:v>Chicago, IL</x:v>
      </x:c>
      <x:c r="D47" s="10" t="str">
        <x:v>Established fertility center serving IVF patients.</x:v>
      </x:c>
      <x:c r="E47" s="10" t="str">
        <x:v>Company website</x:v>
      </x:c>
      <x:c r="F47" s="10" t="str">
        <x:v>https://www.advancedfertility.com/</x:v>
      </x:c>
      <x:c r="G47" s="16" t="str">
        <x:v>Seed candidate – verify current contact before outreach</x:v>
      </x:c>
      <x:c r="H47" s="43" t="n">
        <x:v>4</x:v>
      </x:c>
      <x:c r="I47" s="43" t="n">
        <x:v>3</x:v>
      </x:c>
      <x:c r="J47" s="43" t="n">
        <x:v>4</x:v>
      </x:c>
      <x:c r="K47" s="43" t="n">
        <x:v>3</x:v>
      </x:c>
      <x:c r="L47" s="43" t="n">
        <x:v>5</x:v>
      </x:c>
      <x:c r="M47" s="43" t="n">
        <x:v>4</x:v>
      </x:c>
      <x:c r="N47" s="44" t="n">
        <x:f>(H47*25%+I47*20%+J47*20%+K47*15%+L47*10%+M47*10%)*20</x:f>
        <x:v>75.00000000000001</x:v>
      </x:c>
      <x:c r="O47" s="10" t="str">
        <x:f>IF(N47&gt;=88,"High",IF(N47&gt;=78,"Medium","Long-term"))</x:f>
        <x:v>Long-term</x:v>
      </x:c>
      <x:c r="P47" s="10" t="str">
        <x:v>Analyst hypothesis based on audience timing, natural referral moment, strategic complementarity, likely decision complexity, trust, and potential user volume. Validate through discovery.</x:v>
      </x:c>
    </x:row>
    <x:row r="48" ht="34" customHeight="1">
      <x:c r="A48" s="15" t="str">
        <x:v>Conceptions Reproductive Associates</x:v>
      </x:c>
      <x:c r="B48" s="10" t="str">
        <x:v>Fertility Clinic / Network</x:v>
      </x:c>
      <x:c r="C48" s="10" t="str">
        <x:v>Colorado</x:v>
      </x:c>
      <x:c r="D48" s="10" t="str">
        <x:v>Regional fertility practice with multiple locations.</x:v>
      </x:c>
      <x:c r="E48" s="10" t="str">
        <x:v>Company website</x:v>
      </x:c>
      <x:c r="F48" s="10" t="str">
        <x:v>https://www.conceptionsrepro.com/</x:v>
      </x:c>
      <x:c r="G48" s="16" t="str">
        <x:v>Seed candidate – verify current contact before outreach</x:v>
      </x:c>
      <x:c r="H48" s="43" t="n">
        <x:v>4</x:v>
      </x:c>
      <x:c r="I48" s="43" t="n">
        <x:v>3</x:v>
      </x:c>
      <x:c r="J48" s="43" t="n">
        <x:v>4</x:v>
      </x:c>
      <x:c r="K48" s="43" t="n">
        <x:v>3</x:v>
      </x:c>
      <x:c r="L48" s="43" t="n">
        <x:v>5</x:v>
      </x:c>
      <x:c r="M48" s="43" t="n">
        <x:v>4</x:v>
      </x:c>
      <x:c r="N48" s="44" t="n">
        <x:f>(H48*25%+I48*20%+J48*20%+K48*15%+L48*10%+M48*10%)*20</x:f>
        <x:v>75.00000000000001</x:v>
      </x:c>
      <x:c r="O48" s="10" t="str">
        <x:f>IF(N48&gt;=88,"High",IF(N48&gt;=78,"Medium","Long-term"))</x:f>
        <x:v>Long-term</x:v>
      </x:c>
      <x:c r="P48" s="10" t="str">
        <x:v>Analyst hypothesis based on audience timing, natural referral moment, strategic complementarity, likely decision complexity, trust, and potential user volume. Validate through discovery.</x:v>
      </x:c>
    </x:row>
    <x:row r="49" ht="34" customHeight="1">
      <x:c r="A49" s="15" t="str">
        <x:v>RSC Bay Area</x:v>
      </x:c>
      <x:c r="B49" s="10" t="str">
        <x:v>Fertility Clinic / Network</x:v>
      </x:c>
      <x:c r="C49" s="10" t="str">
        <x:v>Bay Area, CA</x:v>
      </x:c>
      <x:c r="D49" s="10" t="str">
        <x:v>Bay Area fertility practice with family-building audience.</x:v>
      </x:c>
      <x:c r="E49" s="10" t="str">
        <x:v>Company website</x:v>
      </x:c>
      <x:c r="F49" s="10" t="str">
        <x:v>https://rscbayarea.com/</x:v>
      </x:c>
      <x:c r="G49" s="16" t="str">
        <x:v>Seed candidate – verify current contact before outreach</x:v>
      </x:c>
      <x:c r="H49" s="43" t="n">
        <x:v>4</x:v>
      </x:c>
      <x:c r="I49" s="43" t="n">
        <x:v>3</x:v>
      </x:c>
      <x:c r="J49" s="43" t="n">
        <x:v>4</x:v>
      </x:c>
      <x:c r="K49" s="43" t="n">
        <x:v>3</x:v>
      </x:c>
      <x:c r="L49" s="43" t="n">
        <x:v>5</x:v>
      </x:c>
      <x:c r="M49" s="43" t="n">
        <x:v>4</x:v>
      </x:c>
      <x:c r="N49" s="44" t="n">
        <x:f>(H49*25%+I49*20%+J49*20%+K49*15%+L49*10%+M49*10%)*20</x:f>
        <x:v>75.00000000000001</x:v>
      </x:c>
      <x:c r="O49" s="10" t="str">
        <x:f>IF(N49&gt;=88,"High",IF(N49&gt;=78,"Medium","Long-term"))</x:f>
        <x:v>Long-term</x:v>
      </x:c>
      <x:c r="P49" s="10" t="str">
        <x:v>Analyst hypothesis based on audience timing, natural referral moment, strategic complementarity, likely decision complexity, trust, and potential user volume. Validate through discovery.</x:v>
      </x:c>
    </x:row>
    <x:row r="50" ht="34" customHeight="1">
      <x:c r="A50" s="15" t="str">
        <x:v>PREG – Piedmont Reproductive Endocrinology Group</x:v>
      </x:c>
      <x:c r="B50" s="10" t="str">
        <x:v>Fertility Clinic / Network</x:v>
      </x:c>
      <x:c r="C50" s="10" t="str">
        <x:v>Carolinas</x:v>
      </x:c>
      <x:c r="D50" s="10" t="str">
        <x:v>Regional fertility clinic network.</x:v>
      </x:c>
      <x:c r="E50" s="10" t="str">
        <x:v>Company website</x:v>
      </x:c>
      <x:c r="F50" s="10" t="str">
        <x:v>https://pregonline.com/</x:v>
      </x:c>
      <x:c r="G50" s="16" t="str">
        <x:v>Seed candidate – verify current contact before outreach</x:v>
      </x:c>
      <x:c r="H50" s="43" t="n">
        <x:v>4</x:v>
      </x:c>
      <x:c r="I50" s="43" t="n">
        <x:v>3</x:v>
      </x:c>
      <x:c r="J50" s="43" t="n">
        <x:v>4</x:v>
      </x:c>
      <x:c r="K50" s="43" t="n">
        <x:v>3</x:v>
      </x:c>
      <x:c r="L50" s="43" t="n">
        <x:v>5</x:v>
      </x:c>
      <x:c r="M50" s="43" t="n">
        <x:v>4</x:v>
      </x:c>
      <x:c r="N50" s="44" t="n">
        <x:f>(H50*25%+I50*20%+J50*20%+K50*15%+L50*10%+M50*10%)*20</x:f>
        <x:v>75.00000000000001</x:v>
      </x:c>
      <x:c r="O50" s="10" t="str">
        <x:f>IF(N50&gt;=88,"High",IF(N50&gt;=78,"Medium","Long-term"))</x:f>
        <x:v>Long-term</x:v>
      </x:c>
      <x:c r="P50" s="10" t="str">
        <x:v>Analyst hypothesis based on audience timing, natural referral moment, strategic complementarity, likely decision complexity, trust, and potential user volume. Validate through discovery.</x:v>
      </x:c>
    </x:row>
    <x:row r="51" ht="34" customHeight="1">
      <x:c r="A51" s="15" t="str">
        <x:v>US Fertility</x:v>
      </x:c>
      <x:c r="B51" s="10" t="str">
        <x:v>Fertility Clinic / Network</x:v>
      </x:c>
      <x:c r="C51" s="10" t="str">
        <x:v>National</x:v>
      </x:c>
      <x:c r="D51" s="10" t="str">
        <x:v>Large physician-led fertility network spanning 100+ locations.</x:v>
      </x:c>
      <x:c r="E51" s="10" t="str">
        <x:v>Network website</x:v>
      </x:c>
      <x:c r="F51" s="10" t="str">
        <x:v>https://www.usfertility.com/network</x:v>
      </x:c>
      <x:c r="G51" s="16" t="str">
        <x:v>Seed candidate – verify current contact before outreach</x:v>
      </x:c>
      <x:c r="H51" s="43" t="n">
        <x:v>4</x:v>
      </x:c>
      <x:c r="I51" s="43" t="n">
        <x:v>3</x:v>
      </x:c>
      <x:c r="J51" s="43" t="n">
        <x:v>4</x:v>
      </x:c>
      <x:c r="K51" s="43" t="n">
        <x:v>3</x:v>
      </x:c>
      <x:c r="L51" s="43" t="n">
        <x:v>5</x:v>
      </x:c>
      <x:c r="M51" s="43" t="n">
        <x:v>4</x:v>
      </x:c>
      <x:c r="N51" s="44" t="n">
        <x:f>(H51*25%+I51*20%+J51*20%+K51*15%+L51*10%+M51*10%)*20</x:f>
        <x:v>75.00000000000001</x:v>
      </x:c>
      <x:c r="O51" s="10" t="str">
        <x:f>IF(N51&gt;=88,"High",IF(N51&gt;=78,"Medium","Long-term"))</x:f>
        <x:v>Long-term</x:v>
      </x:c>
      <x:c r="P51" s="10" t="str">
        <x:v>Analyst hypothesis based on audience timing, natural referral moment, strategic complementarity, likely decision complexity, trust, and potential user volume. Validate through discovery.</x:v>
      </x:c>
    </x:row>
    <x:row r="52" ht="34" customHeight="1">
      <x:c r="A52" s="15" t="str">
        <x:v>DONA International</x:v>
      </x:c>
      <x:c r="B52" s="10" t="str">
        <x:v>Doula / Doula Network</x:v>
      </x:c>
      <x:c r="C52" s="10" t="str">
        <x:v>National</x:v>
      </x:c>
      <x:c r="D52" s="10" t="str">
        <x:v>Major doula certification organization and directory.</x:v>
      </x:c>
      <x:c r="E52" s="10" t="str">
        <x:v>Association / directory</x:v>
      </x:c>
      <x:c r="F52" s="10" t="str">
        <x:v>https://dona.org/</x:v>
      </x:c>
      <x:c r="G52" s="16" t="str">
        <x:v>Seed candidate – verify current contact before outreach</x:v>
      </x:c>
      <x:c r="H52" s="43" t="n">
        <x:v>5</x:v>
      </x:c>
      <x:c r="I52" s="43" t="n">
        <x:v>4</x:v>
      </x:c>
      <x:c r="J52" s="43" t="n">
        <x:v>5</x:v>
      </x:c>
      <x:c r="K52" s="43" t="n">
        <x:v>3</x:v>
      </x:c>
      <x:c r="L52" s="43" t="n">
        <x:v>5</x:v>
      </x:c>
      <x:c r="M52" s="43" t="n">
        <x:v>5</x:v>
      </x:c>
      <x:c r="N52" s="44" t="n">
        <x:f>(H52*25%+I52*20%+J52*20%+K52*15%+L52*10%+M52*10%)*20</x:f>
        <x:v>90</x:v>
      </x:c>
      <x:c r="O52" s="10" t="str">
        <x:f>IF(N52&gt;=88,"High",IF(N52&gt;=78,"Medium","Long-term"))</x:f>
        <x:v>High</x:v>
      </x:c>
      <x:c r="P52" s="10" t="str">
        <x:v>Analyst hypothesis based on audience timing, natural referral moment, strategic complementarity, likely decision complexity, trust, and potential user volume. Validate through discovery.</x:v>
      </x:c>
    </x:row>
    <x:row r="53" ht="34" customHeight="1">
      <x:c r="A53" s="15" t="str">
        <x:v>CAPPA</x:v>
      </x:c>
      <x:c r="B53" s="10" t="str">
        <x:v>Doula / Doula Network</x:v>
      </x:c>
      <x:c r="C53" s="10" t="str">
        <x:v>National</x:v>
      </x:c>
      <x:c r="D53" s="10" t="str">
        <x:v>Childbirth and postpartum professional association with doula network.</x:v>
      </x:c>
      <x:c r="E53" s="10" t="str">
        <x:v>Association website</x:v>
      </x:c>
      <x:c r="F53" s="10" t="str">
        <x:v>https://cappa.net/</x:v>
      </x:c>
      <x:c r="G53" s="16" t="str">
        <x:v>Seed candidate – verify current contact before outreach</x:v>
      </x:c>
      <x:c r="H53" s="43" t="n">
        <x:v>5</x:v>
      </x:c>
      <x:c r="I53" s="43" t="n">
        <x:v>4</x:v>
      </x:c>
      <x:c r="J53" s="43" t="n">
        <x:v>5</x:v>
      </x:c>
      <x:c r="K53" s="43" t="n">
        <x:v>3</x:v>
      </x:c>
      <x:c r="L53" s="43" t="n">
        <x:v>5</x:v>
      </x:c>
      <x:c r="M53" s="43" t="n">
        <x:v>4</x:v>
      </x:c>
      <x:c r="N53" s="44" t="n">
        <x:f>(H53*25%+I53*20%+J53*20%+K53*15%+L53*10%+M53*10%)*20</x:f>
        <x:v>88</x:v>
      </x:c>
      <x:c r="O53" s="10" t="str">
        <x:f>IF(N53&gt;=88,"High",IF(N53&gt;=78,"Medium","Long-term"))</x:f>
        <x:v>High</x:v>
      </x:c>
      <x:c r="P53" s="10" t="str">
        <x:v>Analyst hypothesis based on audience timing, natural referral moment, strategic complementarity, likely decision complexity, trust, and potential user volume. Validate through discovery.</x:v>
      </x:c>
    </x:row>
    <x:row r="54" ht="34" customHeight="1">
      <x:c r="A54" s="15" t="str">
        <x:v>ProDoula</x:v>
      </x:c>
      <x:c r="B54" s="10" t="str">
        <x:v>Doula / Doula Network</x:v>
      </x:c>
      <x:c r="C54" s="10" t="str">
        <x:v>National</x:v>
      </x:c>
      <x:c r="D54" s="10" t="str">
        <x:v>Doula training and professional network.</x:v>
      </x:c>
      <x:c r="E54" s="10" t="str">
        <x:v>Company website</x:v>
      </x:c>
      <x:c r="F54" s="10" t="str">
        <x:v>https://www.prodoula.com/</x:v>
      </x:c>
      <x:c r="G54" s="16" t="str">
        <x:v>Seed candidate – verify current contact before outreach</x:v>
      </x:c>
      <x:c r="H54" s="43" t="n">
        <x:v>5</x:v>
      </x:c>
      <x:c r="I54" s="43" t="n">
        <x:v>4</x:v>
      </x:c>
      <x:c r="J54" s="43" t="n">
        <x:v>5</x:v>
      </x:c>
      <x:c r="K54" s="43" t="n">
        <x:v>4</x:v>
      </x:c>
      <x:c r="L54" s="43" t="n">
        <x:v>4</x:v>
      </x:c>
      <x:c r="M54" s="43" t="n">
        <x:v>3</x:v>
      </x:c>
      <x:c r="N54" s="44" t="n">
        <x:f>(H54*25%+I54*20%+J54*20%+K54*15%+L54*10%+M54*10%)*20</x:f>
        <x:v>87</x:v>
      </x:c>
      <x:c r="O54" s="10" t="str">
        <x:f>IF(N54&gt;=88,"High",IF(N54&gt;=78,"Medium","Long-term"))</x:f>
        <x:v>Medium</x:v>
      </x:c>
      <x:c r="P54" s="10" t="str">
        <x:v>Analyst hypothesis based on audience timing, natural referral moment, strategic complementarity, likely decision complexity, trust, and potential user volume. Validate through discovery.</x:v>
      </x:c>
    </x:row>
    <x:row r="55" ht="34" customHeight="1">
      <x:c r="A55" s="15" t="str">
        <x:v>Doula Trainings International</x:v>
      </x:c>
      <x:c r="B55" s="10" t="str">
        <x:v>Doula / Doula Network</x:v>
      </x:c>
      <x:c r="C55" s="10" t="str">
        <x:v>National</x:v>
      </x:c>
      <x:c r="D55" s="10" t="str">
        <x:v>Doula education and professional community.</x:v>
      </x:c>
      <x:c r="E55" s="10" t="str">
        <x:v>Company website</x:v>
      </x:c>
      <x:c r="F55" s="10" t="str">
        <x:v>https://wearedti.com/</x:v>
      </x:c>
      <x:c r="G55" s="16" t="str">
        <x:v>Seed candidate – verify current contact before outreach</x:v>
      </x:c>
      <x:c r="H55" s="43" t="n">
        <x:v>5</x:v>
      </x:c>
      <x:c r="I55" s="43" t="n">
        <x:v>4</x:v>
      </x:c>
      <x:c r="J55" s="43" t="n">
        <x:v>5</x:v>
      </x:c>
      <x:c r="K55" s="43" t="n">
        <x:v>4</x:v>
      </x:c>
      <x:c r="L55" s="43" t="n">
        <x:v>4</x:v>
      </x:c>
      <x:c r="M55" s="43" t="n">
        <x:v>3</x:v>
      </x:c>
      <x:c r="N55" s="44" t="n">
        <x:f>(H55*25%+I55*20%+J55*20%+K55*15%+L55*10%+M55*10%)*20</x:f>
        <x:v>87</x:v>
      </x:c>
      <x:c r="O55" s="10" t="str">
        <x:f>IF(N55&gt;=88,"High",IF(N55&gt;=78,"Medium","Long-term"))</x:f>
        <x:v>Medium</x:v>
      </x:c>
      <x:c r="P55" s="10" t="str">
        <x:v>Analyst hypothesis based on audience timing, natural referral moment, strategic complementarity, likely decision complexity, trust, and potential user volume. Validate through discovery.</x:v>
      </x:c>
    </x:row>
    <x:row r="56" ht="34" customHeight="1">
      <x:c r="A56" s="15" t="str">
        <x:v>BirthWorks International</x:v>
      </x:c>
      <x:c r="B56" s="10" t="str">
        <x:v>Doula / Doula Network</x:v>
      </x:c>
      <x:c r="C56" s="10" t="str">
        <x:v>National / International</x:v>
      </x:c>
      <x:c r="D56" s="10" t="str">
        <x:v>Doula and childbirth educator network with locator.</x:v>
      </x:c>
      <x:c r="E56" s="10" t="str">
        <x:v>Association website</x:v>
      </x:c>
      <x:c r="F56" s="10" t="str">
        <x:v>https://birthworks.org/</x:v>
      </x:c>
      <x:c r="G56" s="16" t="str">
        <x:v>Seed candidate – verify current contact before outreach</x:v>
      </x:c>
      <x:c r="H56" s="43" t="n">
        <x:v>5</x:v>
      </x:c>
      <x:c r="I56" s="43" t="n">
        <x:v>4</x:v>
      </x:c>
      <x:c r="J56" s="43" t="n">
        <x:v>5</x:v>
      </x:c>
      <x:c r="K56" s="43" t="n">
        <x:v>4</x:v>
      </x:c>
      <x:c r="L56" s="43" t="n">
        <x:v>4</x:v>
      </x:c>
      <x:c r="M56" s="43" t="n">
        <x:v>3</x:v>
      </x:c>
      <x:c r="N56" s="44" t="n">
        <x:f>(H56*25%+I56*20%+J56*20%+K56*15%+L56*10%+M56*10%)*20</x:f>
        <x:v>87</x:v>
      </x:c>
      <x:c r="O56" s="10" t="str">
        <x:f>IF(N56&gt;=88,"High",IF(N56&gt;=78,"Medium","Long-term"))</x:f>
        <x:v>Medium</x:v>
      </x:c>
      <x:c r="P56" s="10" t="str">
        <x:v>Analyst hypothesis based on audience timing, natural referral moment, strategic complementarity, likely decision complexity, trust, and potential user volume. Validate through discovery.</x:v>
      </x:c>
    </x:row>
    <x:row r="57" ht="34" customHeight="1">
      <x:c r="A57" s="15" t="str">
        <x:v>National Black Doulas Association</x:v>
      </x:c>
      <x:c r="B57" s="10" t="str">
        <x:v>Doula / Doula Network</x:v>
      </x:c>
      <x:c r="C57" s="10" t="str">
        <x:v>National</x:v>
      </x:c>
      <x:c r="D57" s="10" t="str">
        <x:v>Professional network supporting Black doulas and families.</x:v>
      </x:c>
      <x:c r="E57" s="10" t="str">
        <x:v>Association website</x:v>
      </x:c>
      <x:c r="F57" s="10" t="str">
        <x:v>https://blackdoulas.org/</x:v>
      </x:c>
      <x:c r="G57" s="16" t="str">
        <x:v>Seed candidate – verify current contact before outreach</x:v>
      </x:c>
      <x:c r="H57" s="43" t="n">
        <x:v>5</x:v>
      </x:c>
      <x:c r="I57" s="43" t="n">
        <x:v>4</x:v>
      </x:c>
      <x:c r="J57" s="43" t="n">
        <x:v>5</x:v>
      </x:c>
      <x:c r="K57" s="43" t="n">
        <x:v>4</x:v>
      </x:c>
      <x:c r="L57" s="43" t="n">
        <x:v>4</x:v>
      </x:c>
      <x:c r="M57" s="43" t="n">
        <x:v>3</x:v>
      </x:c>
      <x:c r="N57" s="44" t="n">
        <x:f>(H57*25%+I57*20%+J57*20%+K57*15%+L57*10%+M57*10%)*20</x:f>
        <x:v>87</x:v>
      </x:c>
      <x:c r="O57" s="10" t="str">
        <x:f>IF(N57&gt;=88,"High",IF(N57&gt;=78,"Medium","Long-term"))</x:f>
        <x:v>Medium</x:v>
      </x:c>
      <x:c r="P57" s="10" t="str">
        <x:v>Analyst hypothesis based on audience timing, natural referral moment, strategic complementarity, likely decision complexity, trust, and potential user volume. Validate through discovery.</x:v>
      </x:c>
    </x:row>
    <x:row r="58" ht="34" customHeight="1">
      <x:c r="A58" s="15" t="str">
        <x:v>Ancient Song Doula Services</x:v>
      </x:c>
      <x:c r="B58" s="10" t="str">
        <x:v>Doula / Doula Network</x:v>
      </x:c>
      <x:c r="C58" s="10" t="str">
        <x:v>New York, NY</x:v>
      </x:c>
      <x:c r="D58" s="10" t="str">
        <x:v>Community-based doula organization with maternal-health reach.</x:v>
      </x:c>
      <x:c r="E58" s="10" t="str">
        <x:v>Organization website</x:v>
      </x:c>
      <x:c r="F58" s="10" t="str">
        <x:v>https://www.ancientsongdoulaservices.com/</x:v>
      </x:c>
      <x:c r="G58" s="16" t="str">
        <x:v>Seed candidate – verify current contact before outreach</x:v>
      </x:c>
      <x:c r="H58" s="43" t="n">
        <x:v>5</x:v>
      </x:c>
      <x:c r="I58" s="43" t="n">
        <x:v>4</x:v>
      </x:c>
      <x:c r="J58" s="43" t="n">
        <x:v>5</x:v>
      </x:c>
      <x:c r="K58" s="43" t="n">
        <x:v>5</x:v>
      </x:c>
      <x:c r="L58" s="43" t="n">
        <x:v>4</x:v>
      </x:c>
      <x:c r="M58" s="43" t="n">
        <x:v>3</x:v>
      </x:c>
      <x:c r="N58" s="44" t="n">
        <x:f>(H58*25%+I58*20%+J58*20%+K58*15%+L58*10%+M58*10%)*20</x:f>
        <x:v>90</x:v>
      </x:c>
      <x:c r="O58" s="10" t="str">
        <x:f>IF(N58&gt;=88,"High",IF(N58&gt;=78,"Medium","Long-term"))</x:f>
        <x:v>High</x:v>
      </x:c>
      <x:c r="P58" s="10" t="str">
        <x:v>Analyst hypothesis based on audience timing, natural referral moment, strategic complementarity, likely decision complexity, trust, and potential user volume. Validate through discovery.</x:v>
      </x:c>
    </x:row>
    <x:row r="59" ht="34" customHeight="1">
      <x:c r="A59" s="15" t="str">
        <x:v>SisterWeb</x:v>
      </x:c>
      <x:c r="B59" s="10" t="str">
        <x:v>Doula / Doula Network</x:v>
      </x:c>
      <x:c r="C59" s="10" t="str">
        <x:v>San Francisco, CA</x:v>
      </x:c>
      <x:c r="D59" s="10" t="str">
        <x:v>Community doula network serving Bay Area families.</x:v>
      </x:c>
      <x:c r="E59" s="10" t="str">
        <x:v>Organization website</x:v>
      </x:c>
      <x:c r="F59" s="10" t="str">
        <x:v>https://www.sisterweb.org/</x:v>
      </x:c>
      <x:c r="G59" s="16" t="str">
        <x:v>Seed candidate – verify current contact before outreach</x:v>
      </x:c>
      <x:c r="H59" s="43" t="n">
        <x:v>5</x:v>
      </x:c>
      <x:c r="I59" s="43" t="n">
        <x:v>4</x:v>
      </x:c>
      <x:c r="J59" s="43" t="n">
        <x:v>5</x:v>
      </x:c>
      <x:c r="K59" s="43" t="n">
        <x:v>5</x:v>
      </x:c>
      <x:c r="L59" s="43" t="n">
        <x:v>4</x:v>
      </x:c>
      <x:c r="M59" s="43" t="n">
        <x:v>3</x:v>
      </x:c>
      <x:c r="N59" s="44" t="n">
        <x:f>(H59*25%+I59*20%+J59*20%+K59*15%+L59*10%+M59*10%)*20</x:f>
        <x:v>90</x:v>
      </x:c>
      <x:c r="O59" s="10" t="str">
        <x:f>IF(N59&gt;=88,"High",IF(N59&gt;=78,"Medium","Long-term"))</x:f>
        <x:v>High</x:v>
      </x:c>
      <x:c r="P59" s="10" t="str">
        <x:v>Analyst hypothesis based on audience timing, natural referral moment, strategic complementarity, likely decision complexity, trust, and potential user volume. Validate through discovery.</x:v>
      </x:c>
    </x:row>
    <x:row r="60" ht="34" customHeight="1">
      <x:c r="A60" s="15" t="str">
        <x:v>Open Arms Perinatal Services</x:v>
      </x:c>
      <x:c r="B60" s="10" t="str">
        <x:v>Doula / Doula Network</x:v>
      </x:c>
      <x:c r="C60" s="10" t="str">
        <x:v>Seattle, WA</x:v>
      </x:c>
      <x:c r="D60" s="10" t="str">
        <x:v>Perinatal nonprofit with doula services and birthworker directory.</x:v>
      </x:c>
      <x:c r="E60" s="10" t="str">
        <x:v>Organization website</x:v>
      </x:c>
      <x:c r="F60" s="10" t="str">
        <x:v>https://openarmsps.org/</x:v>
      </x:c>
      <x:c r="G60" s="16" t="str">
        <x:v>Seed candidate – verify current contact before outreach</x:v>
      </x:c>
      <x:c r="H60" s="43" t="n">
        <x:v>5</x:v>
      </x:c>
      <x:c r="I60" s="43" t="n">
        <x:v>4</x:v>
      </x:c>
      <x:c r="J60" s="43" t="n">
        <x:v>5</x:v>
      </x:c>
      <x:c r="K60" s="43" t="n">
        <x:v>4</x:v>
      </x:c>
      <x:c r="L60" s="43" t="n">
        <x:v>4</x:v>
      </x:c>
      <x:c r="M60" s="43" t="n">
        <x:v>3</x:v>
      </x:c>
      <x:c r="N60" s="44" t="n">
        <x:f>(H60*25%+I60*20%+J60*20%+K60*15%+L60*10%+M60*10%)*20</x:f>
        <x:v>87</x:v>
      </x:c>
      <x:c r="O60" s="10" t="str">
        <x:f>IF(N60&gt;=88,"High",IF(N60&gt;=78,"Medium","Long-term"))</x:f>
        <x:v>Medium</x:v>
      </x:c>
      <x:c r="P60" s="10" t="str">
        <x:v>Analyst hypothesis based on audience timing, natural referral moment, strategic complementarity, likely decision complexity, trust, and potential user volume. Validate through discovery.</x:v>
      </x:c>
    </x:row>
    <x:row r="61" ht="34" customHeight="1">
      <x:c r="A61" s="15" t="str">
        <x:v>Carriage House Birth</x:v>
      </x:c>
      <x:c r="B61" s="10" t="str">
        <x:v>Doula / Doula Network</x:v>
      </x:c>
      <x:c r="C61" s="10" t="str">
        <x:v>New York / Los Angeles</x:v>
      </x:c>
      <x:c r="D61" s="10" t="str">
        <x:v>Well-known doula collective and education platform.</x:v>
      </x:c>
      <x:c r="E61" s="10" t="str">
        <x:v>Company website</x:v>
      </x:c>
      <x:c r="F61" s="10" t="str">
        <x:v>https://carriagehousebirth.com/</x:v>
      </x:c>
      <x:c r="G61" s="16" t="str">
        <x:v>Seed candidate – verify current contact before outreach</x:v>
      </x:c>
      <x:c r="H61" s="43" t="n">
        <x:v>5</x:v>
      </x:c>
      <x:c r="I61" s="43" t="n">
        <x:v>4</x:v>
      </x:c>
      <x:c r="J61" s="43" t="n">
        <x:v>5</x:v>
      </x:c>
      <x:c r="K61" s="43" t="n">
        <x:v>5</x:v>
      </x:c>
      <x:c r="L61" s="43" t="n">
        <x:v>4</x:v>
      </x:c>
      <x:c r="M61" s="43" t="n">
        <x:v>3</x:v>
      </x:c>
      <x:c r="N61" s="44" t="n">
        <x:f>(H61*25%+I61*20%+J61*20%+K61*15%+L61*10%+M61*10%)*20</x:f>
        <x:v>90</x:v>
      </x:c>
      <x:c r="O61" s="10" t="str">
        <x:f>IF(N61&gt;=88,"High",IF(N61&gt;=78,"Medium","Long-term"))</x:f>
        <x:v>High</x:v>
      </x:c>
      <x:c r="P61" s="10" t="str">
        <x:v>Analyst hypothesis based on audience timing, natural referral moment, strategic complementarity, likely decision complexity, trust, and potential user volume. Validate through discovery.</x:v>
      </x:c>
    </x:row>
    <x:row r="62" ht="34" customHeight="1">
      <x:c r="A62" s="15" t="str">
        <x:v>Chicago Family Doulas</x:v>
      </x:c>
      <x:c r="B62" s="10" t="str">
        <x:v>Doula / Doula Network</x:v>
      </x:c>
      <x:c r="C62" s="10" t="str">
        <x:v>Chicago, IL</x:v>
      </x:c>
      <x:c r="D62" s="10" t="str">
        <x:v>Large local doula agency serving birth and postpartum families.</x:v>
      </x:c>
      <x:c r="E62" s="10" t="str">
        <x:v>Company website</x:v>
      </x:c>
      <x:c r="F62" s="10" t="str">
        <x:v>https://chicagofamilydoulas.com/</x:v>
      </x:c>
      <x:c r="G62" s="16" t="str">
        <x:v>Seed candidate – verify current contact before outreach</x:v>
      </x:c>
      <x:c r="H62" s="43" t="n">
        <x:v>5</x:v>
      </x:c>
      <x:c r="I62" s="43" t="n">
        <x:v>4</x:v>
      </x:c>
      <x:c r="J62" s="43" t="n">
        <x:v>5</x:v>
      </x:c>
      <x:c r="K62" s="43" t="n">
        <x:v>5</x:v>
      </x:c>
      <x:c r="L62" s="43" t="n">
        <x:v>4</x:v>
      </x:c>
      <x:c r="M62" s="43" t="n">
        <x:v>3</x:v>
      </x:c>
      <x:c r="N62" s="44" t="n">
        <x:f>(H62*25%+I62*20%+J62*20%+K62*15%+L62*10%+M62*10%)*20</x:f>
        <x:v>90</x:v>
      </x:c>
      <x:c r="O62" s="10" t="str">
        <x:f>IF(N62&gt;=88,"High",IF(N62&gt;=78,"Medium","Long-term"))</x:f>
        <x:v>High</x:v>
      </x:c>
      <x:c r="P62" s="10" t="str">
        <x:v>Analyst hypothesis based on audience timing, natural referral moment, strategic complementarity, likely decision complexity, trust, and potential user volume. Validate through discovery.</x:v>
      </x:c>
    </x:row>
    <x:row r="63" ht="34" customHeight="1">
      <x:c r="A63" s="15" t="str">
        <x:v>Birthways</x:v>
      </x:c>
      <x:c r="B63" s="10" t="str">
        <x:v>Doula / Doula Network</x:v>
      </x:c>
      <x:c r="C63" s="10" t="str">
        <x:v>Chicago, IL</x:v>
      </x:c>
      <x:c r="D63" s="10" t="str">
        <x:v>Doula and postpartum support organization.</x:v>
      </x:c>
      <x:c r="E63" s="10" t="str">
        <x:v>Company website</x:v>
      </x:c>
      <x:c r="F63" s="10" t="str">
        <x:v>https://birthwaysinc.com/</x:v>
      </x:c>
      <x:c r="G63" s="16" t="str">
        <x:v>Seed candidate – verify current contact before outreach</x:v>
      </x:c>
      <x:c r="H63" s="43" t="n">
        <x:v>5</x:v>
      </x:c>
      <x:c r="I63" s="43" t="n">
        <x:v>4</x:v>
      </x:c>
      <x:c r="J63" s="43" t="n">
        <x:v>5</x:v>
      </x:c>
      <x:c r="K63" s="43" t="n">
        <x:v>5</x:v>
      </x:c>
      <x:c r="L63" s="43" t="n">
        <x:v>4</x:v>
      </x:c>
      <x:c r="M63" s="43" t="n">
        <x:v>3</x:v>
      </x:c>
      <x:c r="N63" s="44" t="n">
        <x:f>(H63*25%+I63*20%+J63*20%+K63*15%+L63*10%+M63*10%)*20</x:f>
        <x:v>90</x:v>
      </x:c>
      <x:c r="O63" s="10" t="str">
        <x:f>IF(N63&gt;=88,"High",IF(N63&gt;=78,"Medium","Long-term"))</x:f>
        <x:v>High</x:v>
      </x:c>
      <x:c r="P63" s="10" t="str">
        <x:v>Analyst hypothesis based on audience timing, natural referral moment, strategic complementarity, likely decision complexity, trust, and potential user volume. Validate through discovery.</x:v>
      </x:c>
    </x:row>
    <x:row r="64" ht="34" customHeight="1">
      <x:c r="A64" s="15" t="str">
        <x:v>DC Doulas</x:v>
      </x:c>
      <x:c r="B64" s="10" t="str">
        <x:v>Doula / Doula Network</x:v>
      </x:c>
      <x:c r="C64" s="10" t="str">
        <x:v>Washington, DC</x:v>
      </x:c>
      <x:c r="D64" s="10" t="str">
        <x:v>Local doula collective serving pregnancy and postpartum clients.</x:v>
      </x:c>
      <x:c r="E64" s="10" t="str">
        <x:v>Company website</x:v>
      </x:c>
      <x:c r="F64" s="10" t="str">
        <x:v>https://dcdoulas.com/</x:v>
      </x:c>
      <x:c r="G64" s="16" t="str">
        <x:v>Seed candidate – verify current contact before outreach</x:v>
      </x:c>
      <x:c r="H64" s="43" t="n">
        <x:v>5</x:v>
      </x:c>
      <x:c r="I64" s="43" t="n">
        <x:v>4</x:v>
      </x:c>
      <x:c r="J64" s="43" t="n">
        <x:v>5</x:v>
      </x:c>
      <x:c r="K64" s="43" t="n">
        <x:v>5</x:v>
      </x:c>
      <x:c r="L64" s="43" t="n">
        <x:v>4</x:v>
      </x:c>
      <x:c r="M64" s="43" t="n">
        <x:v>3</x:v>
      </x:c>
      <x:c r="N64" s="44" t="n">
        <x:f>(H64*25%+I64*20%+J64*20%+K64*15%+L64*10%+M64*10%)*20</x:f>
        <x:v>90</x:v>
      </x:c>
      <x:c r="O64" s="10" t="str">
        <x:f>IF(N64&gt;=88,"High",IF(N64&gt;=78,"Medium","Long-term"))</x:f>
        <x:v>High</x:v>
      </x:c>
      <x:c r="P64" s="10" t="str">
        <x:v>Analyst hypothesis based on audience timing, natural referral moment, strategic complementarity, likely decision complexity, trust, and potential user volume. Validate through discovery.</x:v>
      </x:c>
    </x:row>
    <x:row r="65" ht="34" customHeight="1">
      <x:c r="A65" s="15" t="str">
        <x:v>Doulas of Rhode Island</x:v>
      </x:c>
      <x:c r="B65" s="10" t="str">
        <x:v>Doula / Doula Network</x:v>
      </x:c>
      <x:c r="C65" s="10" t="str">
        <x:v>Rhode Island</x:v>
      </x:c>
      <x:c r="D65" s="10" t="str">
        <x:v>Regional doula directory and community.</x:v>
      </x:c>
      <x:c r="E65" s="10" t="str">
        <x:v>Directory / collective</x:v>
      </x:c>
      <x:c r="F65" s="10" t="str">
        <x:v>https://doulasofrhodeisland.com/</x:v>
      </x:c>
      <x:c r="G65" s="16" t="str">
        <x:v>Seed candidate – verify current contact before outreach</x:v>
      </x:c>
      <x:c r="H65" s="43" t="n">
        <x:v>5</x:v>
      </x:c>
      <x:c r="I65" s="43" t="n">
        <x:v>4</x:v>
      </x:c>
      <x:c r="J65" s="43" t="n">
        <x:v>5</x:v>
      </x:c>
      <x:c r="K65" s="43" t="n">
        <x:v>4</x:v>
      </x:c>
      <x:c r="L65" s="43" t="n">
        <x:v>4</x:v>
      </x:c>
      <x:c r="M65" s="43" t="n">
        <x:v>3</x:v>
      </x:c>
      <x:c r="N65" s="44" t="n">
        <x:f>(H65*25%+I65*20%+J65*20%+K65*15%+L65*10%+M65*10%)*20</x:f>
        <x:v>87</x:v>
      </x:c>
      <x:c r="O65" s="10" t="str">
        <x:f>IF(N65&gt;=88,"High",IF(N65&gt;=78,"Medium","Long-term"))</x:f>
        <x:v>Medium</x:v>
      </x:c>
      <x:c r="P65" s="10" t="str">
        <x:v>Analyst hypothesis based on audience timing, natural referral moment, strategic complementarity, likely decision complexity, trust, and potential user volume. Validate through discovery.</x:v>
      </x:c>
    </x:row>
    <x:row r="66" ht="34" customHeight="1">
      <x:c r="A66" s="15" t="str">
        <x:v>Bay Area Night Doulas</x:v>
      </x:c>
      <x:c r="B66" s="10" t="str">
        <x:v>Doula / Doula Network</x:v>
      </x:c>
      <x:c r="C66" s="10" t="str">
        <x:v>San Francisco Bay Area</x:v>
      </x:c>
      <x:c r="D66" s="10" t="str">
        <x:v>Postpartum/night doula collective serving new parents.</x:v>
      </x:c>
      <x:c r="E66" s="10" t="str">
        <x:v>Directory listing</x:v>
      </x:c>
      <x:c r="F66" s="10" t="str">
        <x:v>https://www.mothermuna.com/directory</x:v>
      </x:c>
      <x:c r="G66" s="16" t="str">
        <x:v>Seed candidate – verify current contact before outreach</x:v>
      </x:c>
      <x:c r="H66" s="43" t="n">
        <x:v>5</x:v>
      </x:c>
      <x:c r="I66" s="43" t="n">
        <x:v>4</x:v>
      </x:c>
      <x:c r="J66" s="43" t="n">
        <x:v>5</x:v>
      </x:c>
      <x:c r="K66" s="43" t="n">
        <x:v>4</x:v>
      </x:c>
      <x:c r="L66" s="43" t="n">
        <x:v>4</x:v>
      </x:c>
      <x:c r="M66" s="43" t="n">
        <x:v>3</x:v>
      </x:c>
      <x:c r="N66" s="44" t="n">
        <x:f>(H66*25%+I66*20%+J66*20%+K66*15%+L66*10%+M66*10%)*20</x:f>
        <x:v>87</x:v>
      </x:c>
      <x:c r="O66" s="10" t="str">
        <x:f>IF(N66&gt;=88,"High",IF(N66&gt;=78,"Medium","Long-term"))</x:f>
        <x:v>Medium</x:v>
      </x:c>
      <x:c r="P66" s="10" t="str">
        <x:v>Analyst hypothesis based on audience timing, natural referral moment, strategic complementarity, likely decision complexity, trust, and potential user volume. Validate through discovery.</x:v>
      </x:c>
    </x:row>
    <x:row r="67" ht="34" customHeight="1">
      <x:c r="A67" s="15" t="str">
        <x:v>East Nashville Doulas</x:v>
      </x:c>
      <x:c r="B67" s="10" t="str">
        <x:v>Doula / Doula Network</x:v>
      </x:c>
      <x:c r="C67" s="10" t="str">
        <x:v>Nashville, TN</x:v>
      </x:c>
      <x:c r="D67" s="10" t="str">
        <x:v>Local doula organization serving birth and postpartum families.</x:v>
      </x:c>
      <x:c r="E67" s="10" t="str">
        <x:v>Directory listing</x:v>
      </x:c>
      <x:c r="F67" s="10" t="str">
        <x:v>https://www.discoverdoulas.com/</x:v>
      </x:c>
      <x:c r="G67" s="16" t="str">
        <x:v>Seed candidate – verify current contact before outreach</x:v>
      </x:c>
      <x:c r="H67" s="43" t="n">
        <x:v>5</x:v>
      </x:c>
      <x:c r="I67" s="43" t="n">
        <x:v>4</x:v>
      </x:c>
      <x:c r="J67" s="43" t="n">
        <x:v>5</x:v>
      </x:c>
      <x:c r="K67" s="43" t="n">
        <x:v>4</x:v>
      </x:c>
      <x:c r="L67" s="43" t="n">
        <x:v>4</x:v>
      </x:c>
      <x:c r="M67" s="43" t="n">
        <x:v>3</x:v>
      </x:c>
      <x:c r="N67" s="44" t="n">
        <x:f>(H67*25%+I67*20%+J67*20%+K67*15%+L67*10%+M67*10%)*20</x:f>
        <x:v>87</x:v>
      </x:c>
      <x:c r="O67" s="10" t="str">
        <x:f>IF(N67&gt;=88,"High",IF(N67&gt;=78,"Medium","Long-term"))</x:f>
        <x:v>Medium</x:v>
      </x:c>
      <x:c r="P67" s="10" t="str">
        <x:v>Analyst hypothesis based on audience timing, natural referral moment, strategic complementarity, likely decision complexity, trust, and potential user volume. Validate through discovery.</x:v>
      </x:c>
    </x:row>
    <x:row r="68" ht="34" customHeight="1">
      <x:c r="A68" s="15" t="str">
        <x:v>Doulas by the Bay</x:v>
      </x:c>
      <x:c r="B68" s="10" t="str">
        <x:v>Doula / Doula Network</x:v>
      </x:c>
      <x:c r="C68" s="10" t="str">
        <x:v>San Francisco Bay Area</x:v>
      </x:c>
      <x:c r="D68" s="10" t="str">
        <x:v>Bay Area doula collective with birth/postpartum audience.</x:v>
      </x:c>
      <x:c r="E68" s="10" t="str">
        <x:v>Industry directory / survey</x:v>
      </x:c>
      <x:c r="F68" s="10" t="str">
        <x:v>https://healthlaw.org/wp-content/uploads/2020/04/NHeLP-DoulaCare-Web-Format-final.pdf</x:v>
      </x:c>
      <x:c r="G68" s="16" t="str">
        <x:v>Seed candidate – verify current contact before outreach</x:v>
      </x:c>
      <x:c r="H68" s="43" t="n">
        <x:v>5</x:v>
      </x:c>
      <x:c r="I68" s="43" t="n">
        <x:v>4</x:v>
      </x:c>
      <x:c r="J68" s="43" t="n">
        <x:v>5</x:v>
      </x:c>
      <x:c r="K68" s="43" t="n">
        <x:v>4</x:v>
      </x:c>
      <x:c r="L68" s="43" t="n">
        <x:v>4</x:v>
      </x:c>
      <x:c r="M68" s="43" t="n">
        <x:v>3</x:v>
      </x:c>
      <x:c r="N68" s="44" t="n">
        <x:f>(H68*25%+I68*20%+J68*20%+K68*15%+L68*10%+M68*10%)*20</x:f>
        <x:v>87</x:v>
      </x:c>
      <x:c r="O68" s="10" t="str">
        <x:f>IF(N68&gt;=88,"High",IF(N68&gt;=78,"Medium","Long-term"))</x:f>
        <x:v>Medium</x:v>
      </x:c>
      <x:c r="P68" s="10" t="str">
        <x:v>Analyst hypothesis based on audience timing, natural referral moment, strategic complementarity, likely decision complexity, trust, and potential user volume. Validate through discovery.</x:v>
      </x:c>
    </x:row>
    <x:row r="69" ht="34" customHeight="1">
      <x:c r="A69" s="15" t="str">
        <x:v>Doula Care Collective</x:v>
      </x:c>
      <x:c r="B69" s="10" t="str">
        <x:v>Doula / Doula Network</x:v>
      </x:c>
      <x:c r="C69" s="10" t="str">
        <x:v>Northern California</x:v>
      </x:c>
      <x:c r="D69" s="10" t="str">
        <x:v>Doula collective included in California doula ecosystem research.</x:v>
      </x:c>
      <x:c r="E69" s="10" t="str">
        <x:v>Industry directory / survey</x:v>
      </x:c>
      <x:c r="F69" s="10" t="str">
        <x:v>https://healthlaw.org/wp-content/uploads/2020/04/NHeLP-DoulaCare-Web-Format-final.pdf</x:v>
      </x:c>
      <x:c r="G69" s="16" t="str">
        <x:v>Seed candidate – verify current contact before outreach</x:v>
      </x:c>
      <x:c r="H69" s="43" t="n">
        <x:v>5</x:v>
      </x:c>
      <x:c r="I69" s="43" t="n">
        <x:v>4</x:v>
      </x:c>
      <x:c r="J69" s="43" t="n">
        <x:v>5</x:v>
      </x:c>
      <x:c r="K69" s="43" t="n">
        <x:v>4</x:v>
      </x:c>
      <x:c r="L69" s="43" t="n">
        <x:v>4</x:v>
      </x:c>
      <x:c r="M69" s="43" t="n">
        <x:v>3</x:v>
      </x:c>
      <x:c r="N69" s="44" t="n">
        <x:f>(H69*25%+I69*20%+J69*20%+K69*15%+L69*10%+M69*10%)*20</x:f>
        <x:v>87</x:v>
      </x:c>
      <x:c r="O69" s="10" t="str">
        <x:f>IF(N69&gt;=88,"High",IF(N69&gt;=78,"Medium","Long-term"))</x:f>
        <x:v>Medium</x:v>
      </x:c>
      <x:c r="P69" s="10" t="str">
        <x:v>Analyst hypothesis based on audience timing, natural referral moment, strategic complementarity, likely decision complexity, trust, and potential user volume. Validate through discovery.</x:v>
      </x:c>
    </x:row>
    <x:row r="70" ht="34" customHeight="1">
      <x:c r="A70" s="15" t="str">
        <x:v>Roots of Labor Birth Collective</x:v>
      </x:c>
      <x:c r="B70" s="10" t="str">
        <x:v>Doula / Doula Network</x:v>
      </x:c>
      <x:c r="C70" s="10" t="str">
        <x:v>Oakland / Bay Area, CA</x:v>
      </x:c>
      <x:c r="D70" s="10" t="str">
        <x:v>Community birth collective serving pregnant families.</x:v>
      </x:c>
      <x:c r="E70" s="10" t="str">
        <x:v>Organization website</x:v>
      </x:c>
      <x:c r="F70" s="10" t="str">
        <x:v>https://www.rootsoflaborbc.com/</x:v>
      </x:c>
      <x:c r="G70" s="16" t="str">
        <x:v>Seed candidate – verify current contact before outreach</x:v>
      </x:c>
      <x:c r="H70" s="43" t="n">
        <x:v>5</x:v>
      </x:c>
      <x:c r="I70" s="43" t="n">
        <x:v>4</x:v>
      </x:c>
      <x:c r="J70" s="43" t="n">
        <x:v>5</x:v>
      </x:c>
      <x:c r="K70" s="43" t="n">
        <x:v>4</x:v>
      </x:c>
      <x:c r="L70" s="43" t="n">
        <x:v>4</x:v>
      </x:c>
      <x:c r="M70" s="43" t="n">
        <x:v>3</x:v>
      </x:c>
      <x:c r="N70" s="44" t="n">
        <x:f>(H70*25%+I70*20%+J70*20%+K70*15%+L70*10%+M70*10%)*20</x:f>
        <x:v>87</x:v>
      </x:c>
      <x:c r="O70" s="10" t="str">
        <x:f>IF(N70&gt;=88,"High",IF(N70&gt;=78,"Medium","Long-term"))</x:f>
        <x:v>Medium</x:v>
      </x:c>
      <x:c r="P70" s="10" t="str">
        <x:v>Analyst hypothesis based on audience timing, natural referral moment, strategic complementarity, likely decision complexity, trust, and potential user volume. Validate through discovery.</x:v>
      </x:c>
    </x:row>
    <x:row r="71" ht="34" customHeight="1">
      <x:c r="A71" s="15" t="str">
        <x:v>The Doula Collective</x:v>
      </x:c>
      <x:c r="B71" s="10" t="str">
        <x:v>Doula / Doula Network</x:v>
      </x:c>
      <x:c r="C71" s="10" t="str">
        <x:v>National</x:v>
      </x:c>
      <x:c r="D71" s="10" t="str">
        <x:v>National directory connecting families with birth and postpartum doulas.</x:v>
      </x:c>
      <x:c r="E71" s="10" t="str">
        <x:v>Organization website</x:v>
      </x:c>
      <x:c r="F71" s="10" t="str">
        <x:v>https://www.thedoulacollective.org/</x:v>
      </x:c>
      <x:c r="G71" s="16" t="str">
        <x:v>Seed candidate – verify current contact before outreach</x:v>
      </x:c>
      <x:c r="H71" s="43" t="n">
        <x:v>5</x:v>
      </x:c>
      <x:c r="I71" s="43" t="n">
        <x:v>4</x:v>
      </x:c>
      <x:c r="J71" s="43" t="n">
        <x:v>5</x:v>
      </x:c>
      <x:c r="K71" s="43" t="n">
        <x:v>4</x:v>
      </x:c>
      <x:c r="L71" s="43" t="n">
        <x:v>4</x:v>
      </x:c>
      <x:c r="M71" s="43" t="n">
        <x:v>3</x:v>
      </x:c>
      <x:c r="N71" s="44" t="n">
        <x:f>(H71*25%+I71*20%+J71*20%+K71*15%+L71*10%+M71*10%)*20</x:f>
        <x:v>87</x:v>
      </x:c>
      <x:c r="O71" s="10" t="str">
        <x:f>IF(N71&gt;=88,"High",IF(N71&gt;=78,"Medium","Long-term"))</x:f>
        <x:v>Medium</x:v>
      </x:c>
      <x:c r="P71" s="10" t="str">
        <x:v>Analyst hypothesis based on audience timing, natural referral moment, strategic complementarity, likely decision complexity, trust, and potential user volume. Validate through discovery.</x:v>
      </x:c>
    </x:row>
    <x:row r="72" ht="34" customHeight="1">
      <x:c r="A72" s="15" t="str">
        <x:v>The Lactation Network</x:v>
      </x:c>
      <x:c r="B72" s="10" t="str">
        <x:v>Lactation Consultant / Network</x:v>
      </x:c>
      <x:c r="C72" s="10" t="str">
        <x:v>National</x:v>
      </x:c>
      <x:c r="D72" s="10" t="str">
        <x:v>Large insurance-covered IBCLC network with postpartum audience.</x:v>
      </x:c>
      <x:c r="E72" s="10" t="str">
        <x:v>Company website</x:v>
      </x:c>
      <x:c r="F72" s="10" t="str">
        <x:v>https://lactationnetwork.com/</x:v>
      </x:c>
      <x:c r="G72" s="16" t="str">
        <x:v>Seed candidate – verify current contact before outreach</x:v>
      </x:c>
      <x:c r="H72" s="43" t="n">
        <x:v>5</x:v>
      </x:c>
      <x:c r="I72" s="43" t="n">
        <x:v>5</x:v>
      </x:c>
      <x:c r="J72" s="43" t="n">
        <x:v>5</x:v>
      </x:c>
      <x:c r="K72" s="43" t="n">
        <x:v>3</x:v>
      </x:c>
      <x:c r="L72" s="43" t="n">
        <x:v>5</x:v>
      </x:c>
      <x:c r="M72" s="43" t="n">
        <x:v>5</x:v>
      </x:c>
      <x:c r="N72" s="44" t="n">
        <x:f>(H72*25%+I72*20%+J72*20%+K72*15%+L72*10%+M72*10%)*20</x:f>
        <x:v>94</x:v>
      </x:c>
      <x:c r="O72" s="10" t="str">
        <x:f>IF(N72&gt;=88,"High",IF(N72&gt;=78,"Medium","Long-term"))</x:f>
        <x:v>High</x:v>
      </x:c>
      <x:c r="P72" s="10" t="str">
        <x:v>Analyst hypothesis based on audience timing, natural referral moment, strategic complementarity, likely decision complexity, trust, and potential user volume. Validate through discovery.</x:v>
      </x:c>
    </x:row>
    <x:row r="73" ht="34" customHeight="1">
      <x:c r="A73" s="15" t="str">
        <x:v>Nest Collaborative</x:v>
      </x:c>
      <x:c r="B73" s="10" t="str">
        <x:v>Lactation Consultant / Network</x:v>
      </x:c>
      <x:c r="C73" s="10" t="str">
        <x:v>National / Virtual</x:v>
      </x:c>
      <x:c r="D73" s="10" t="str">
        <x:v>Virtual lactation-consulting network.</x:v>
      </x:c>
      <x:c r="E73" s="10" t="str">
        <x:v>Company website</x:v>
      </x:c>
      <x:c r="F73" s="10" t="str">
        <x:v>https://nestcollaborative.com/</x:v>
      </x:c>
      <x:c r="G73" s="16" t="str">
        <x:v>Seed candidate – verify current contact before outreach</x:v>
      </x:c>
      <x:c r="H73" s="43" t="n">
        <x:v>5</x:v>
      </x:c>
      <x:c r="I73" s="43" t="n">
        <x:v>5</x:v>
      </x:c>
      <x:c r="J73" s="43" t="n">
        <x:v>5</x:v>
      </x:c>
      <x:c r="K73" s="43" t="n">
        <x:v>4</x:v>
      </x:c>
      <x:c r="L73" s="43" t="n">
        <x:v>5</x:v>
      </x:c>
      <x:c r="M73" s="43" t="n">
        <x:v>4</x:v>
      </x:c>
      <x:c r="N73" s="44" t="n">
        <x:f>(H73*25%+I73*20%+J73*20%+K73*15%+L73*10%+M73*10%)*20</x:f>
        <x:v>95</x:v>
      </x:c>
      <x:c r="O73" s="10" t="str">
        <x:f>IF(N73&gt;=88,"High",IF(N73&gt;=78,"Medium","Long-term"))</x:f>
        <x:v>High</x:v>
      </x:c>
      <x:c r="P73" s="10" t="str">
        <x:v>Analyst hypothesis based on audience timing, natural referral moment, strategic complementarity, likely decision complexity, trust, and potential user volume. Validate through discovery.</x:v>
      </x:c>
    </x:row>
    <x:row r="74" ht="34" customHeight="1">
      <x:c r="A74" s="15" t="str">
        <x:v>SimpliFed</x:v>
      </x:c>
      <x:c r="B74" s="10" t="str">
        <x:v>Lactation Consultant / Network</x:v>
      </x:c>
      <x:c r="C74" s="10" t="str">
        <x:v>National / Virtual</x:v>
      </x:c>
      <x:c r="D74" s="10" t="str">
        <x:v>Virtual baby-feeding and lactation support platform.</x:v>
      </x:c>
      <x:c r="E74" s="10" t="str">
        <x:v>Company website</x:v>
      </x:c>
      <x:c r="F74" s="10" t="str">
        <x:v>https://www.simplifed.com/</x:v>
      </x:c>
      <x:c r="G74" s="16" t="str">
        <x:v>Seed candidate – verify current contact before outreach</x:v>
      </x:c>
      <x:c r="H74" s="43" t="n">
        <x:v>5</x:v>
      </x:c>
      <x:c r="I74" s="43" t="n">
        <x:v>5</x:v>
      </x:c>
      <x:c r="J74" s="43" t="n">
        <x:v>5</x:v>
      </x:c>
      <x:c r="K74" s="43" t="n">
        <x:v>4</x:v>
      </x:c>
      <x:c r="L74" s="43" t="n">
        <x:v>5</x:v>
      </x:c>
      <x:c r="M74" s="43" t="n">
        <x:v>4</x:v>
      </x:c>
      <x:c r="N74" s="44" t="n">
        <x:f>(H74*25%+I74*20%+J74*20%+K74*15%+L74*10%+M74*10%)*20</x:f>
        <x:v>95</x:v>
      </x:c>
      <x:c r="O74" s="10" t="str">
        <x:f>IF(N74&gt;=88,"High",IF(N74&gt;=78,"Medium","Long-term"))</x:f>
        <x:v>High</x:v>
      </x:c>
      <x:c r="P74" s="10" t="str">
        <x:v>Analyst hypothesis based on audience timing, natural referral moment, strategic complementarity, likely decision complexity, trust, and potential user volume. Validate through discovery.</x:v>
      </x:c>
    </x:row>
    <x:row r="75" ht="34" customHeight="1">
      <x:c r="A75" s="15" t="str">
        <x:v>Pacify</x:v>
      </x:c>
      <x:c r="B75" s="10" t="str">
        <x:v>Lactation Consultant / Network</x:v>
      </x:c>
      <x:c r="C75" s="10" t="str">
        <x:v>National / Virtual</x:v>
      </x:c>
      <x:c r="D75" s="10" t="str">
        <x:v>On-demand maternal and infant support including lactation.</x:v>
      </x:c>
      <x:c r="E75" s="10" t="str">
        <x:v>Company website</x:v>
      </x:c>
      <x:c r="F75" s="10" t="str">
        <x:v>https://www.pacify.com/</x:v>
      </x:c>
      <x:c r="G75" s="16" t="str">
        <x:v>Seed candidate – verify current contact before outreach</x:v>
      </x:c>
      <x:c r="H75" s="43" t="n">
        <x:v>5</x:v>
      </x:c>
      <x:c r="I75" s="43" t="n">
        <x:v>5</x:v>
      </x:c>
      <x:c r="J75" s="43" t="n">
        <x:v>5</x:v>
      </x:c>
      <x:c r="K75" s="43" t="n">
        <x:v>4</x:v>
      </x:c>
      <x:c r="L75" s="43" t="n">
        <x:v>5</x:v>
      </x:c>
      <x:c r="M75" s="43" t="n">
        <x:v>4</x:v>
      </x:c>
      <x:c r="N75" s="44" t="n">
        <x:f>(H75*25%+I75*20%+J75*20%+K75*15%+L75*10%+M75*10%)*20</x:f>
        <x:v>95</x:v>
      </x:c>
      <x:c r="O75" s="10" t="str">
        <x:f>IF(N75&gt;=88,"High",IF(N75&gt;=78,"Medium","Long-term"))</x:f>
        <x:v>High</x:v>
      </x:c>
      <x:c r="P75" s="10" t="str">
        <x:v>Analyst hypothesis based on audience timing, natural referral moment, strategic complementarity, likely decision complexity, trust, and potential user volume. Validate through discovery.</x:v>
      </x:c>
    </x:row>
    <x:row r="76" ht="34" customHeight="1">
      <x:c r="A76" s="15" t="str">
        <x:v>Boober</x:v>
      </x:c>
      <x:c r="B76" s="10" t="str">
        <x:v>Lactation Consultant / Network</x:v>
      </x:c>
      <x:c r="C76" s="10" t="str">
        <x:v>National / Virtual</x:v>
      </x:c>
      <x:c r="D76" s="10" t="str">
        <x:v>Maternal-support marketplace offering lactation and doula services.</x:v>
      </x:c>
      <x:c r="E76" s="10" t="str">
        <x:v>Company website</x:v>
      </x:c>
      <x:c r="F76" s="10" t="str">
        <x:v>https://getboober.com/</x:v>
      </x:c>
      <x:c r="G76" s="16" t="str">
        <x:v>Seed candidate – verify current contact before outreach</x:v>
      </x:c>
      <x:c r="H76" s="43" t="n">
        <x:v>5</x:v>
      </x:c>
      <x:c r="I76" s="43" t="n">
        <x:v>4</x:v>
      </x:c>
      <x:c r="J76" s="43" t="n">
        <x:v>5</x:v>
      </x:c>
      <x:c r="K76" s="43" t="n">
        <x:v>4</x:v>
      </x:c>
      <x:c r="L76" s="43" t="n">
        <x:v>5</x:v>
      </x:c>
      <x:c r="M76" s="43" t="n">
        <x:v>3</x:v>
      </x:c>
      <x:c r="N76" s="44" t="n">
        <x:f>(H76*25%+I76*20%+J76*20%+K76*15%+L76*10%+M76*10%)*20</x:f>
        <x:v>89</x:v>
      </x:c>
      <x:c r="O76" s="10" t="str">
        <x:f>IF(N76&gt;=88,"High",IF(N76&gt;=78,"Medium","Long-term"))</x:f>
        <x:v>High</x:v>
      </x:c>
      <x:c r="P76" s="10" t="str">
        <x:v>Analyst hypothesis based on audience timing, natural referral moment, strategic complementarity, likely decision complexity, trust, and potential user volume. Validate through discovery.</x:v>
      </x:c>
    </x:row>
    <x:row r="77" ht="34" customHeight="1">
      <x:c r="A77" s="15" t="str">
        <x:v>United States Lactation Consultant Association</x:v>
      </x:c>
      <x:c r="B77" s="10" t="str">
        <x:v>Lactation Consultant / Network</x:v>
      </x:c>
      <x:c r="C77" s="10" t="str">
        <x:v>National</x:v>
      </x:c>
      <x:c r="D77" s="10" t="str">
        <x:v>Professional association and IBCLC directory.</x:v>
      </x:c>
      <x:c r="E77" s="10" t="str">
        <x:v>Association / directory</x:v>
      </x:c>
      <x:c r="F77" s="10" t="str">
        <x:v>https://uslca.org/</x:v>
      </x:c>
      <x:c r="G77" s="16" t="str">
        <x:v>Seed candidate – verify current contact before outreach</x:v>
      </x:c>
      <x:c r="H77" s="43" t="n">
        <x:v>5</x:v>
      </x:c>
      <x:c r="I77" s="43" t="n">
        <x:v>4</x:v>
      </x:c>
      <x:c r="J77" s="43" t="n">
        <x:v>5</x:v>
      </x:c>
      <x:c r="K77" s="43" t="n">
        <x:v>3</x:v>
      </x:c>
      <x:c r="L77" s="43" t="n">
        <x:v>5</x:v>
      </x:c>
      <x:c r="M77" s="43" t="n">
        <x:v>5</x:v>
      </x:c>
      <x:c r="N77" s="44" t="n">
        <x:f>(H77*25%+I77*20%+J77*20%+K77*15%+L77*10%+M77*10%)*20</x:f>
        <x:v>90</x:v>
      </x:c>
      <x:c r="O77" s="10" t="str">
        <x:f>IF(N77&gt;=88,"High",IF(N77&gt;=78,"Medium","Long-term"))</x:f>
        <x:v>High</x:v>
      </x:c>
      <x:c r="P77" s="10" t="str">
        <x:v>Analyst hypothesis based on audience timing, natural referral moment, strategic complementarity, likely decision complexity, trust, and potential user volume. Validate through discovery.</x:v>
      </x:c>
    </x:row>
    <x:row r="78" ht="34" customHeight="1">
      <x:c r="A78" s="15" t="str">
        <x:v>International Lactation Consultant Association</x:v>
      </x:c>
      <x:c r="B78" s="10" t="str">
        <x:v>Lactation Consultant / Network</x:v>
      </x:c>
      <x:c r="C78" s="10" t="str">
        <x:v>International / U.S.</x:v>
      </x:c>
      <x:c r="D78" s="10" t="str">
        <x:v>Professional association for lactation consultants.</x:v>
      </x:c>
      <x:c r="E78" s="10" t="str">
        <x:v>Association website</x:v>
      </x:c>
      <x:c r="F78" s="10" t="str">
        <x:v>https://ilca.org/</x:v>
      </x:c>
      <x:c r="G78" s="16" t="str">
        <x:v>Seed candidate – verify current contact before outreach</x:v>
      </x:c>
      <x:c r="H78" s="43" t="n">
        <x:v>5</x:v>
      </x:c>
      <x:c r="I78" s="43" t="n">
        <x:v>4</x:v>
      </x:c>
      <x:c r="J78" s="43" t="n">
        <x:v>5</x:v>
      </x:c>
      <x:c r="K78" s="43" t="n">
        <x:v>4</x:v>
      </x:c>
      <x:c r="L78" s="43" t="n">
        <x:v>5</x:v>
      </x:c>
      <x:c r="M78" s="43" t="n">
        <x:v>3</x:v>
      </x:c>
      <x:c r="N78" s="44" t="n">
        <x:f>(H78*25%+I78*20%+J78*20%+K78*15%+L78*10%+M78*10%)*20</x:f>
        <x:v>89</x:v>
      </x:c>
      <x:c r="O78" s="10" t="str">
        <x:f>IF(N78&gt;=88,"High",IF(N78&gt;=78,"Medium","Long-term"))</x:f>
        <x:v>High</x:v>
      </x:c>
      <x:c r="P78" s="10" t="str">
        <x:v>Analyst hypothesis based on audience timing, natural referral moment, strategic complementarity, likely decision complexity, trust, and potential user volume. Validate through discovery.</x:v>
      </x:c>
    </x:row>
    <x:row r="79" ht="34" customHeight="1">
      <x:c r="A79" s="15" t="str">
        <x:v>La Leche League USA</x:v>
      </x:c>
      <x:c r="B79" s="10" t="str">
        <x:v>Lactation Consultant / Network</x:v>
      </x:c>
      <x:c r="C79" s="10" t="str">
        <x:v>National</x:v>
      </x:c>
      <x:c r="D79" s="10" t="str">
        <x:v>Large breastfeeding-support organization and local group network.</x:v>
      </x:c>
      <x:c r="E79" s="10" t="str">
        <x:v>Organization website</x:v>
      </x:c>
      <x:c r="F79" s="10" t="str">
        <x:v>https://lllusa.org/</x:v>
      </x:c>
      <x:c r="G79" s="16" t="str">
        <x:v>Seed candidate – verify current contact before outreach</x:v>
      </x:c>
      <x:c r="H79" s="43" t="n">
        <x:v>5</x:v>
      </x:c>
      <x:c r="I79" s="43" t="n">
        <x:v>5</x:v>
      </x:c>
      <x:c r="J79" s="43" t="n">
        <x:v>5</x:v>
      </x:c>
      <x:c r="K79" s="43" t="n">
        <x:v>3</x:v>
      </x:c>
      <x:c r="L79" s="43" t="n">
        <x:v>5</x:v>
      </x:c>
      <x:c r="M79" s="43" t="n">
        <x:v>5</x:v>
      </x:c>
      <x:c r="N79" s="44" t="n">
        <x:f>(H79*25%+I79*20%+J79*20%+K79*15%+L79*10%+M79*10%)*20</x:f>
        <x:v>94</x:v>
      </x:c>
      <x:c r="O79" s="10" t="str">
        <x:f>IF(N79&gt;=88,"High",IF(N79&gt;=78,"Medium","Long-term"))</x:f>
        <x:v>High</x:v>
      </x:c>
      <x:c r="P79" s="10" t="str">
        <x:v>Analyst hypothesis based on audience timing, natural referral moment, strategic complementarity, likely decision complexity, trust, and potential user volume. Validate through discovery.</x:v>
      </x:c>
    </x:row>
    <x:row r="80" ht="34" customHeight="1">
      <x:c r="A80" s="15" t="str">
        <x:v>MilkWorks</x:v>
      </x:c>
      <x:c r="B80" s="10" t="str">
        <x:v>Lactation Consultant / Network</x:v>
      </x:c>
      <x:c r="C80" s="10" t="str">
        <x:v>Nebraska</x:v>
      </x:c>
      <x:c r="D80" s="10" t="str">
        <x:v>Nonprofit breastfeeding center providing lactation support.</x:v>
      </x:c>
      <x:c r="E80" s="10" t="str">
        <x:v>Organization website</x:v>
      </x:c>
      <x:c r="F80" s="10" t="str">
        <x:v>https://milkworks.org/</x:v>
      </x:c>
      <x:c r="G80" s="16" t="str">
        <x:v>Seed candidate – verify current contact before outreach</x:v>
      </x:c>
      <x:c r="H80" s="43" t="n">
        <x:v>5</x:v>
      </x:c>
      <x:c r="I80" s="43" t="n">
        <x:v>4</x:v>
      </x:c>
      <x:c r="J80" s="43" t="n">
        <x:v>5</x:v>
      </x:c>
      <x:c r="K80" s="43" t="n">
        <x:v>4</x:v>
      </x:c>
      <x:c r="L80" s="43" t="n">
        <x:v>5</x:v>
      </x:c>
      <x:c r="M80" s="43" t="n">
        <x:v>3</x:v>
      </x:c>
      <x:c r="N80" s="44" t="n">
        <x:f>(H80*25%+I80*20%+J80*20%+K80*15%+L80*10%+M80*10%)*20</x:f>
        <x:v>89</x:v>
      </x:c>
      <x:c r="O80" s="10" t="str">
        <x:f>IF(N80&gt;=88,"High",IF(N80&gt;=78,"Medium","Long-term"))</x:f>
        <x:v>High</x:v>
      </x:c>
      <x:c r="P80" s="10" t="str">
        <x:v>Analyst hypothesis based on audience timing, natural referral moment, strategic complementarity, likely decision complexity, trust, and potential user volume. Validate through discovery.</x:v>
      </x:c>
    </x:row>
    <x:row r="81" ht="34" customHeight="1">
      <x:c r="A81" s="15" t="str">
        <x:v>Breastfeeding Center for Greater Washington</x:v>
      </x:c>
      <x:c r="B81" s="10" t="str">
        <x:v>Lactation Consultant / Network</x:v>
      </x:c>
      <x:c r="C81" s="10" t="str">
        <x:v>Washington, DC</x:v>
      </x:c>
      <x:c r="D81" s="10" t="str">
        <x:v>Major lactation clinic and education center.</x:v>
      </x:c>
      <x:c r="E81" s="10" t="str">
        <x:v>Company website</x:v>
      </x:c>
      <x:c r="F81" s="10" t="str">
        <x:v>https://www.breastfeedingcenter.org/</x:v>
      </x:c>
      <x:c r="G81" s="16" t="str">
        <x:v>Seed candidate – verify current contact before outreach</x:v>
      </x:c>
      <x:c r="H81" s="43" t="n">
        <x:v>5</x:v>
      </x:c>
      <x:c r="I81" s="43" t="n">
        <x:v>4</x:v>
      </x:c>
      <x:c r="J81" s="43" t="n">
        <x:v>5</x:v>
      </x:c>
      <x:c r="K81" s="43" t="n">
        <x:v>4</x:v>
      </x:c>
      <x:c r="L81" s="43" t="n">
        <x:v>5</x:v>
      </x:c>
      <x:c r="M81" s="43" t="n">
        <x:v>3</x:v>
      </x:c>
      <x:c r="N81" s="44" t="n">
        <x:f>(H81*25%+I81*20%+J81*20%+K81*15%+L81*10%+M81*10%)*20</x:f>
        <x:v>89</x:v>
      </x:c>
      <x:c r="O81" s="10" t="str">
        <x:f>IF(N81&gt;=88,"High",IF(N81&gt;=78,"Medium","Long-term"))</x:f>
        <x:v>High</x:v>
      </x:c>
      <x:c r="P81" s="10" t="str">
        <x:v>Analyst hypothesis based on audience timing, natural referral moment, strategic complementarity, likely decision complexity, trust, and potential user volume. Validate through discovery.</x:v>
      </x:c>
    </x:row>
    <x:row r="82" ht="34" customHeight="1">
      <x:c r="A82" s="15" t="str">
        <x:v>Lactation Link</x:v>
      </x:c>
      <x:c r="B82" s="10" t="str">
        <x:v>Lactation Consultant / Network</x:v>
      </x:c>
      <x:c r="C82" s="10" t="str">
        <x:v>National / Virtual</x:v>
      </x:c>
      <x:c r="D82" s="10" t="str">
        <x:v>Online lactation education and support.</x:v>
      </x:c>
      <x:c r="E82" s="10" t="str">
        <x:v>Company website</x:v>
      </x:c>
      <x:c r="F82" s="10" t="str">
        <x:v>https://lactationlink.com/</x:v>
      </x:c>
      <x:c r="G82" s="16" t="str">
        <x:v>Seed candidate – verify current contact before outreach</x:v>
      </x:c>
      <x:c r="H82" s="43" t="n">
        <x:v>5</x:v>
      </x:c>
      <x:c r="I82" s="43" t="n">
        <x:v>4</x:v>
      </x:c>
      <x:c r="J82" s="43" t="n">
        <x:v>5</x:v>
      </x:c>
      <x:c r="K82" s="43" t="n">
        <x:v>4</x:v>
      </x:c>
      <x:c r="L82" s="43" t="n">
        <x:v>5</x:v>
      </x:c>
      <x:c r="M82" s="43" t="n">
        <x:v>3</x:v>
      </x:c>
      <x:c r="N82" s="44" t="n">
        <x:f>(H82*25%+I82*20%+J82*20%+K82*15%+L82*10%+M82*10%)*20</x:f>
        <x:v>89</x:v>
      </x:c>
      <x:c r="O82" s="10" t="str">
        <x:f>IF(N82&gt;=88,"High",IF(N82&gt;=78,"Medium","Long-term"))</x:f>
        <x:v>High</x:v>
      </x:c>
      <x:c r="P82" s="10" t="str">
        <x:v>Analyst hypothesis based on audience timing, natural referral moment, strategic complementarity, likely decision complexity, trust, and potential user volume. Validate through discovery.</x:v>
      </x:c>
    </x:row>
    <x:row r="83" ht="34" customHeight="1">
      <x:c r="A83" s="15" t="str">
        <x:v>Nurture by NAPS</x:v>
      </x:c>
      <x:c r="B83" s="10" t="str">
        <x:v>Lactation Consultant / Network</x:v>
      </x:c>
      <x:c r="C83" s="10" t="str">
        <x:v>Boston / Virtual</x:v>
      </x:c>
      <x:c r="D83" s="10" t="str">
        <x:v>New-parent support platform offering lactation expertise.</x:v>
      </x:c>
      <x:c r="E83" s="10" t="str">
        <x:v>Company website</x:v>
      </x:c>
      <x:c r="F83" s="10" t="str">
        <x:v>https://nurturebynaps.com/</x:v>
      </x:c>
      <x:c r="G83" s="16" t="str">
        <x:v>Seed candidate – verify current contact before outreach</x:v>
      </x:c>
      <x:c r="H83" s="43" t="n">
        <x:v>5</x:v>
      </x:c>
      <x:c r="I83" s="43" t="n">
        <x:v>4</x:v>
      </x:c>
      <x:c r="J83" s="43" t="n">
        <x:v>5</x:v>
      </x:c>
      <x:c r="K83" s="43" t="n">
        <x:v>4</x:v>
      </x:c>
      <x:c r="L83" s="43" t="n">
        <x:v>5</x:v>
      </x:c>
      <x:c r="M83" s="43" t="n">
        <x:v>3</x:v>
      </x:c>
      <x:c r="N83" s="44" t="n">
        <x:f>(H83*25%+I83*20%+J83*20%+K83*15%+L83*10%+M83*10%)*20</x:f>
        <x:v>89</x:v>
      </x:c>
      <x:c r="O83" s="10" t="str">
        <x:f>IF(N83&gt;=88,"High",IF(N83&gt;=78,"Medium","Long-term"))</x:f>
        <x:v>High</x:v>
      </x:c>
      <x:c r="P83" s="10" t="str">
        <x:v>Analyst hypothesis based on audience timing, natural referral moment, strategic complementarity, likely decision complexity, trust, and potential user volume. Validate through discovery.</x:v>
      </x:c>
    </x:row>
    <x:row r="84" ht="34" customHeight="1">
      <x:c r="A84" s="15" t="str">
        <x:v>Mahmee</x:v>
      </x:c>
      <x:c r="B84" s="10" t="str">
        <x:v>Lactation Consultant / Network</x:v>
      </x:c>
      <x:c r="C84" s="10" t="str">
        <x:v>National / Virtual</x:v>
      </x:c>
      <x:c r="D84" s="10" t="str">
        <x:v>Maternal-health platform with lactation and postpartum support.</x:v>
      </x:c>
      <x:c r="E84" s="10" t="str">
        <x:v>Company website</x:v>
      </x:c>
      <x:c r="F84" s="10" t="str">
        <x:v>https://www.mahmee.com/</x:v>
      </x:c>
      <x:c r="G84" s="16" t="str">
        <x:v>Seed candidate – verify current contact before outreach</x:v>
      </x:c>
      <x:c r="H84" s="43" t="n">
        <x:v>5</x:v>
      </x:c>
      <x:c r="I84" s="43" t="n">
        <x:v>4</x:v>
      </x:c>
      <x:c r="J84" s="43" t="n">
        <x:v>5</x:v>
      </x:c>
      <x:c r="K84" s="43" t="n">
        <x:v>4</x:v>
      </x:c>
      <x:c r="L84" s="43" t="n">
        <x:v>5</x:v>
      </x:c>
      <x:c r="M84" s="43" t="n">
        <x:v>3</x:v>
      </x:c>
      <x:c r="N84" s="44" t="n">
        <x:f>(H84*25%+I84*20%+J84*20%+K84*15%+L84*10%+M84*10%)*20</x:f>
        <x:v>89</x:v>
      </x:c>
      <x:c r="O84" s="10" t="str">
        <x:f>IF(N84&gt;=88,"High",IF(N84&gt;=78,"Medium","Long-term"))</x:f>
        <x:v>High</x:v>
      </x:c>
      <x:c r="P84" s="10" t="str">
        <x:v>Analyst hypothesis based on audience timing, natural referral moment, strategic complementarity, likely decision complexity, trust, and potential user volume. Validate through discovery.</x:v>
      </x:c>
    </x:row>
    <x:row r="85" ht="34" customHeight="1">
      <x:c r="A85" s="15" t="str">
        <x:v>Maven Clinic – Lactation Support</x:v>
      </x:c>
      <x:c r="B85" s="10" t="str">
        <x:v>Lactation Consultant / Network</x:v>
      </x:c>
      <x:c r="C85" s="10" t="str">
        <x:v>National / Virtual</x:v>
      </x:c>
      <x:c r="D85" s="10" t="str">
        <x:v>Digital women’s-health platform with maternity and lactation care.</x:v>
      </x:c>
      <x:c r="E85" s="10" t="str">
        <x:v>Company website</x:v>
      </x:c>
      <x:c r="F85" s="10" t="str">
        <x:v>https://www.mavenclinic.com/</x:v>
      </x:c>
      <x:c r="G85" s="16" t="str">
        <x:v>Seed candidate – verify current contact before outreach</x:v>
      </x:c>
      <x:c r="H85" s="43" t="n">
        <x:v>5</x:v>
      </x:c>
      <x:c r="I85" s="43" t="n">
        <x:v>4</x:v>
      </x:c>
      <x:c r="J85" s="43" t="n">
        <x:v>5</x:v>
      </x:c>
      <x:c r="K85" s="43" t="n">
        <x:v>4</x:v>
      </x:c>
      <x:c r="L85" s="43" t="n">
        <x:v>5</x:v>
      </x:c>
      <x:c r="M85" s="43" t="n">
        <x:v>3</x:v>
      </x:c>
      <x:c r="N85" s="44" t="n">
        <x:f>(H85*25%+I85*20%+J85*20%+K85*15%+L85*10%+M85*10%)*20</x:f>
        <x:v>89</x:v>
      </x:c>
      <x:c r="O85" s="10" t="str">
        <x:f>IF(N85&gt;=88,"High",IF(N85&gt;=78,"Medium","Long-term"))</x:f>
        <x:v>High</x:v>
      </x:c>
      <x:c r="P85" s="10" t="str">
        <x:v>Analyst hypothesis based on audience timing, natural referral moment, strategic complementarity, likely decision complexity, trust, and potential user volume. Validate through discovery.</x:v>
      </x:c>
    </x:row>
    <x:row r="86" ht="34" customHeight="1">
      <x:c r="A86" s="15" t="str">
        <x:v>Wildflower Health</x:v>
      </x:c>
      <x:c r="B86" s="10" t="str">
        <x:v>Lactation Consultant / Network</x:v>
      </x:c>
      <x:c r="C86" s="10" t="str">
        <x:v>National</x:v>
      </x:c>
      <x:c r="D86" s="10" t="str">
        <x:v>Digital maternal-health platform supporting pregnancy and postpartum care.</x:v>
      </x:c>
      <x:c r="E86" s="10" t="str">
        <x:v>Company website</x:v>
      </x:c>
      <x:c r="F86" s="10" t="str">
        <x:v>https://www.wildflowerhealth.com/</x:v>
      </x:c>
      <x:c r="G86" s="16" t="str">
        <x:v>Seed candidate – verify current contact before outreach</x:v>
      </x:c>
      <x:c r="H86" s="43" t="n">
        <x:v>5</x:v>
      </x:c>
      <x:c r="I86" s="43" t="n">
        <x:v>4</x:v>
      </x:c>
      <x:c r="J86" s="43" t="n">
        <x:v>5</x:v>
      </x:c>
      <x:c r="K86" s="43" t="n">
        <x:v>4</x:v>
      </x:c>
      <x:c r="L86" s="43" t="n">
        <x:v>5</x:v>
      </x:c>
      <x:c r="M86" s="43" t="n">
        <x:v>3</x:v>
      </x:c>
      <x:c r="N86" s="44" t="n">
        <x:f>(H86*25%+I86*20%+J86*20%+K86*15%+L86*10%+M86*10%)*20</x:f>
        <x:v>89</x:v>
      </x:c>
      <x:c r="O86" s="10" t="str">
        <x:f>IF(N86&gt;=88,"High",IF(N86&gt;=78,"Medium","Long-term"))</x:f>
        <x:v>High</x:v>
      </x:c>
      <x:c r="P86" s="10" t="str">
        <x:v>Analyst hypothesis based on audience timing, natural referral moment, strategic complementarity, likely decision complexity, trust, and potential user volume. Validate through discovery.</x:v>
      </x:c>
    </x:row>
    <x:row r="87" ht="34" customHeight="1">
      <x:c r="A87" s="15" t="str">
        <x:v>Motherhood Center of New York</x:v>
      </x:c>
      <x:c r="B87" s="10" t="str">
        <x:v>Lactation Consultant / Network</x:v>
      </x:c>
      <x:c r="C87" s="10" t="str">
        <x:v>New York, NY</x:v>
      </x:c>
      <x:c r="D87" s="10" t="str">
        <x:v>Perinatal support center with postpartum and lactation-adjacent audience.</x:v>
      </x:c>
      <x:c r="E87" s="10" t="str">
        <x:v>Company website</x:v>
      </x:c>
      <x:c r="F87" s="10" t="str">
        <x:v>https://themotherhoodcenter.com/</x:v>
      </x:c>
      <x:c r="G87" s="16" t="str">
        <x:v>Seed candidate – verify current contact before outreach</x:v>
      </x:c>
      <x:c r="H87" s="43" t="n">
        <x:v>5</x:v>
      </x:c>
      <x:c r="I87" s="43" t="n">
        <x:v>4</x:v>
      </x:c>
      <x:c r="J87" s="43" t="n">
        <x:v>5</x:v>
      </x:c>
      <x:c r="K87" s="43" t="n">
        <x:v>5</x:v>
      </x:c>
      <x:c r="L87" s="43" t="n">
        <x:v>5</x:v>
      </x:c>
      <x:c r="M87" s="43" t="n">
        <x:v>3</x:v>
      </x:c>
      <x:c r="N87" s="44" t="n">
        <x:f>(H87*25%+I87*20%+J87*20%+K87*15%+L87*10%+M87*10%)*20</x:f>
        <x:v>92</x:v>
      </x:c>
      <x:c r="O87" s="10" t="str">
        <x:f>IF(N87&gt;=88,"High",IF(N87&gt;=78,"Medium","Long-term"))</x:f>
        <x:v>High</x:v>
      </x:c>
      <x:c r="P87" s="10" t="str">
        <x:v>Analyst hypothesis based on audience timing, natural referral moment, strategic complementarity, likely decision complexity, trust, and potential user volume. Validate through discovery.</x:v>
      </x:c>
    </x:row>
    <x:row r="88" ht="34" customHeight="1">
      <x:c r="A88" s="15" t="str">
        <x:v>Milky Mama</x:v>
      </x:c>
      <x:c r="B88" s="10" t="str">
        <x:v>Lactation Consultant / Network</x:v>
      </x:c>
      <x:c r="C88" s="10" t="str">
        <x:v>National</x:v>
      </x:c>
      <x:c r="D88" s="10" t="str">
        <x:v>Breastfeeding-focused consumer brand and education community.</x:v>
      </x:c>
      <x:c r="E88" s="10" t="str">
        <x:v>Company website</x:v>
      </x:c>
      <x:c r="F88" s="10" t="str">
        <x:v>https://milky-mama.com/</x:v>
      </x:c>
      <x:c r="G88" s="16" t="str">
        <x:v>Seed candidate – verify current contact before outreach</x:v>
      </x:c>
      <x:c r="H88" s="43" t="n">
        <x:v>5</x:v>
      </x:c>
      <x:c r="I88" s="43" t="n">
        <x:v>4</x:v>
      </x:c>
      <x:c r="J88" s="43" t="n">
        <x:v>5</x:v>
      </x:c>
      <x:c r="K88" s="43" t="n">
        <x:v>4</x:v>
      </x:c>
      <x:c r="L88" s="43" t="n">
        <x:v>5</x:v>
      </x:c>
      <x:c r="M88" s="43" t="n">
        <x:v>3</x:v>
      </x:c>
      <x:c r="N88" s="44" t="n">
        <x:f>(H88*25%+I88*20%+J88*20%+K88*15%+L88*10%+M88*10%)*20</x:f>
        <x:v>89</x:v>
      </x:c>
      <x:c r="O88" s="10" t="str">
        <x:f>IF(N88&gt;=88,"High",IF(N88&gt;=78,"Medium","Long-term"))</x:f>
        <x:v>High</x:v>
      </x:c>
      <x:c r="P88" s="10" t="str">
        <x:v>Analyst hypothesis based on audience timing, natural referral moment, strategic complementarity, likely decision complexity, trust, and potential user volume. Validate through discovery.</x:v>
      </x:c>
    </x:row>
    <x:row r="89" ht="34" customHeight="1">
      <x:c r="A89" s="15" t="str">
        <x:v>Legendairy Milk</x:v>
      </x:c>
      <x:c r="B89" s="10" t="str">
        <x:v>Lactation Consultant / Network</x:v>
      </x:c>
      <x:c r="C89" s="10" t="str">
        <x:v>National</x:v>
      </x:c>
      <x:c r="D89" s="10" t="str">
        <x:v>Large breastfeeding-focused brand and parent community.</x:v>
      </x:c>
      <x:c r="E89" s="10" t="str">
        <x:v>Company website</x:v>
      </x:c>
      <x:c r="F89" s="10" t="str">
        <x:v>https://www.legendairymilk.com/</x:v>
      </x:c>
      <x:c r="G89" s="16" t="str">
        <x:v>Seed candidate – verify current contact before outreach</x:v>
      </x:c>
      <x:c r="H89" s="43" t="n">
        <x:v>5</x:v>
      </x:c>
      <x:c r="I89" s="43" t="n">
        <x:v>4</x:v>
      </x:c>
      <x:c r="J89" s="43" t="n">
        <x:v>5</x:v>
      </x:c>
      <x:c r="K89" s="43" t="n">
        <x:v>4</x:v>
      </x:c>
      <x:c r="L89" s="43" t="n">
        <x:v>5</x:v>
      </x:c>
      <x:c r="M89" s="43" t="n">
        <x:v>3</x:v>
      </x:c>
      <x:c r="N89" s="44" t="n">
        <x:f>(H89*25%+I89*20%+J89*20%+K89*15%+L89*10%+M89*10%)*20</x:f>
        <x:v>89</x:v>
      </x:c>
      <x:c r="O89" s="10" t="str">
        <x:f>IF(N89&gt;=88,"High",IF(N89&gt;=78,"Medium","Long-term"))</x:f>
        <x:v>High</x:v>
      </x:c>
      <x:c r="P89" s="10" t="str">
        <x:v>Analyst hypothesis based on audience timing, natural referral moment, strategic complementarity, likely decision complexity, trust, and potential user volume. Validate through discovery.</x:v>
      </x:c>
    </x:row>
    <x:row r="90" ht="34" customHeight="1">
      <x:c r="A90" s="15" t="str">
        <x:v>Aeroflow Breastpumps</x:v>
      </x:c>
      <x:c r="B90" s="10" t="str">
        <x:v>Lactation Consultant / Network</x:v>
      </x:c>
      <x:c r="C90" s="10" t="str">
        <x:v>National</x:v>
      </x:c>
      <x:c r="D90" s="10" t="str">
        <x:v>Breastpump and lactation-support provider with postpartum reach.</x:v>
      </x:c>
      <x:c r="E90" s="10" t="str">
        <x:v>Company website</x:v>
      </x:c>
      <x:c r="F90" s="10" t="str">
        <x:v>https://aeroflowbreastpumps.com/</x:v>
      </x:c>
      <x:c r="G90" s="16" t="str">
        <x:v>Seed candidate – verify current contact before outreach</x:v>
      </x:c>
      <x:c r="H90" s="43" t="n">
        <x:v>5</x:v>
      </x:c>
      <x:c r="I90" s="43" t="n">
        <x:v>5</x:v>
      </x:c>
      <x:c r="J90" s="43" t="n">
        <x:v>5</x:v>
      </x:c>
      <x:c r="K90" s="43" t="n">
        <x:v>4</x:v>
      </x:c>
      <x:c r="L90" s="43" t="n">
        <x:v>5</x:v>
      </x:c>
      <x:c r="M90" s="43" t="n">
        <x:v>4</x:v>
      </x:c>
      <x:c r="N90" s="44" t="n">
        <x:f>(H90*25%+I90*20%+J90*20%+K90*15%+L90*10%+M90*10%)*20</x:f>
        <x:v>95</x:v>
      </x:c>
      <x:c r="O90" s="10" t="str">
        <x:f>IF(N90&gt;=88,"High",IF(N90&gt;=78,"Medium","Long-term"))</x:f>
        <x:v>High</x:v>
      </x:c>
      <x:c r="P90" s="10" t="str">
        <x:v>Analyst hypothesis based on audience timing, natural referral moment, strategic complementarity, likely decision complexity, trust, and potential user volume. Validate through discovery.</x:v>
      </x:c>
    </x:row>
    <x:row r="91" ht="34" customHeight="1">
      <x:c r="A91" s="15" t="str">
        <x:v>Motherlove Herbal Company</x:v>
      </x:c>
      <x:c r="B91" s="10" t="str">
        <x:v>Lactation Consultant / Network</x:v>
      </x:c>
      <x:c r="C91" s="10" t="str">
        <x:v>National</x:v>
      </x:c>
      <x:c r="D91" s="10" t="str">
        <x:v>Breastfeeding/postpartum consumer brand with aligned audience.</x:v>
      </x:c>
      <x:c r="E91" s="10" t="str">
        <x:v>Company website</x:v>
      </x:c>
      <x:c r="F91" s="10" t="str">
        <x:v>https://www.motherlove.com/</x:v>
      </x:c>
      <x:c r="G91" s="16" t="str">
        <x:v>Seed candidate – verify current contact before outreach</x:v>
      </x:c>
      <x:c r="H91" s="43" t="n">
        <x:v>5</x:v>
      </x:c>
      <x:c r="I91" s="43" t="n">
        <x:v>4</x:v>
      </x:c>
      <x:c r="J91" s="43" t="n">
        <x:v>5</x:v>
      </x:c>
      <x:c r="K91" s="43" t="n">
        <x:v>4</x:v>
      </x:c>
      <x:c r="L91" s="43" t="n">
        <x:v>5</x:v>
      </x:c>
      <x:c r="M91" s="43" t="n">
        <x:v>3</x:v>
      </x:c>
      <x:c r="N91" s="44" t="n">
        <x:f>(H91*25%+I91*20%+J91*20%+K91*15%+L91*10%+M91*10%)*20</x:f>
        <x:v>89</x:v>
      </x:c>
      <x:c r="O91" s="10" t="str">
        <x:f>IF(N91&gt;=88,"High",IF(N91&gt;=78,"Medium","Long-term"))</x:f>
        <x:v>High</x:v>
      </x:c>
      <x:c r="P91" s="10" t="str">
        <x:v>Analyst hypothesis based on audience timing, natural referral moment, strategic complementarity, likely decision complexity, trust, and potential user volume. Validate through discovery.</x:v>
      </x:c>
    </x:row>
    <x:row r="92" ht="34" customHeight="1">
      <x:c r="A92" s="15" t="str">
        <x:v>Origin Physical Therapy</x:v>
      </x:c>
      <x:c r="B92" s="10" t="str">
        <x:v>Pelvic-Floor / Postpartum PT</x:v>
      </x:c>
      <x:c r="C92" s="10" t="str">
        <x:v>Multi-state / Virtual</x:v>
      </x:c>
      <x:c r="D92" s="10" t="str">
        <x:v>Women-focused pelvic-floor PT with pregnancy/postpartum specialization.</x:v>
      </x:c>
      <x:c r="E92" s="10" t="str">
        <x:v>Company website</x:v>
      </x:c>
      <x:c r="F92" s="10" t="str">
        <x:v>https://www.theoriginway.com/</x:v>
      </x:c>
      <x:c r="G92" s="16" t="str">
        <x:v>Seed candidate – verify current contact before outreach</x:v>
      </x:c>
      <x:c r="H92" s="43" t="n">
        <x:v>5</x:v>
      </x:c>
      <x:c r="I92" s="43" t="n">
        <x:v>5</x:v>
      </x:c>
      <x:c r="J92" s="43" t="n">
        <x:v>5</x:v>
      </x:c>
      <x:c r="K92" s="43" t="n">
        <x:v>4</x:v>
      </x:c>
      <x:c r="L92" s="43" t="n">
        <x:v>5</x:v>
      </x:c>
      <x:c r="M92" s="43" t="n">
        <x:v>4</x:v>
      </x:c>
      <x:c r="N92" s="44" t="n">
        <x:f>(H92*25%+I92*20%+J92*20%+K92*15%+L92*10%+M92*10%)*20</x:f>
        <x:v>95</x:v>
      </x:c>
      <x:c r="O92" s="10" t="str">
        <x:f>IF(N92&gt;=88,"High",IF(N92&gt;=78,"Medium","Long-term"))</x:f>
        <x:v>High</x:v>
      </x:c>
      <x:c r="P92" s="10" t="str">
        <x:v>Analyst hypothesis based on audience timing, natural referral moment, strategic complementarity, likely decision complexity, trust, and potential user volume. Validate through discovery.</x:v>
      </x:c>
    </x:row>
    <x:row r="93" ht="34" customHeight="1">
      <x:c r="A93" s="15" t="str">
        <x:v>Pelvic Health and Rehabilitation Center</x:v>
      </x:c>
      <x:c r="B93" s="10" t="str">
        <x:v>Pelvic-Floor / Postpartum PT</x:v>
      </x:c>
      <x:c r="C93" s="10" t="str">
        <x:v>CA / MA / NH</x:v>
      </x:c>
      <x:c r="D93" s="10" t="str">
        <x:v>Specialized pelvic-health physical therapy practice.</x:v>
      </x:c>
      <x:c r="E93" s="10" t="str">
        <x:v>Company website</x:v>
      </x:c>
      <x:c r="F93" s="10" t="str">
        <x:v>https://pelvicpainrehab.com/</x:v>
      </x:c>
      <x:c r="G93" s="16" t="str">
        <x:v>Seed candidate – verify current contact before outreach</x:v>
      </x:c>
      <x:c r="H93" s="43" t="n">
        <x:v>5</x:v>
      </x:c>
      <x:c r="I93" s="43" t="n">
        <x:v>4</x:v>
      </x:c>
      <x:c r="J93" s="43" t="n">
        <x:v>5</x:v>
      </x:c>
      <x:c r="K93" s="43" t="n">
        <x:v>4</x:v>
      </x:c>
      <x:c r="L93" s="43" t="n">
        <x:v>5</x:v>
      </x:c>
      <x:c r="M93" s="43" t="n">
        <x:v>3</x:v>
      </x:c>
      <x:c r="N93" s="44" t="n">
        <x:f>(H93*25%+I93*20%+J93*20%+K93*15%+L93*10%+M93*10%)*20</x:f>
        <x:v>89</x:v>
      </x:c>
      <x:c r="O93" s="10" t="str">
        <x:f>IF(N93&gt;=88,"High",IF(N93&gt;=78,"Medium","Long-term"))</x:f>
        <x:v>High</x:v>
      </x:c>
      <x:c r="P93" s="10" t="str">
        <x:v>Analyst hypothesis based on audience timing, natural referral moment, strategic complementarity, likely decision complexity, trust, and potential user volume. Validate through discovery.</x:v>
      </x:c>
    </x:row>
    <x:row r="94" ht="34" customHeight="1">
      <x:c r="A94" s="15" t="str">
        <x:v>FemFirstHealth</x:v>
      </x:c>
      <x:c r="B94" s="10" t="str">
        <x:v>Pelvic-Floor / Postpartum PT</x:v>
      </x:c>
      <x:c r="C94" s="10" t="str">
        <x:v>New York, NY</x:v>
      </x:c>
      <x:c r="D94" s="10" t="str">
        <x:v>Pelvic-floor physical therapy focused on women’s health.</x:v>
      </x:c>
      <x:c r="E94" s="10" t="str">
        <x:v>Company website</x:v>
      </x:c>
      <x:c r="F94" s="10" t="str">
        <x:v>https://www.femfirsthealth.com/</x:v>
      </x:c>
      <x:c r="G94" s="16" t="str">
        <x:v>Seed candidate – verify current contact before outreach</x:v>
      </x:c>
      <x:c r="H94" s="43" t="n">
        <x:v>5</x:v>
      </x:c>
      <x:c r="I94" s="43" t="n">
        <x:v>4</x:v>
      </x:c>
      <x:c r="J94" s="43" t="n">
        <x:v>5</x:v>
      </x:c>
      <x:c r="K94" s="43" t="n">
        <x:v>5</x:v>
      </x:c>
      <x:c r="L94" s="43" t="n">
        <x:v>5</x:v>
      </x:c>
      <x:c r="M94" s="43" t="n">
        <x:v>3</x:v>
      </x:c>
      <x:c r="N94" s="44" t="n">
        <x:f>(H94*25%+I94*20%+J94*20%+K94*15%+L94*10%+M94*10%)*20</x:f>
        <x:v>92</x:v>
      </x:c>
      <x:c r="O94" s="10" t="str">
        <x:f>IF(N94&gt;=88,"High",IF(N94&gt;=78,"Medium","Long-term"))</x:f>
        <x:v>High</x:v>
      </x:c>
      <x:c r="P94" s="10" t="str">
        <x:v>Analyst hypothesis based on audience timing, natural referral moment, strategic complementarity, likely decision complexity, trust, and potential user volume. Validate through discovery.</x:v>
      </x:c>
    </x:row>
    <x:row r="95" ht="34" customHeight="1">
      <x:c r="A95" s="15" t="str">
        <x:v>Beyond Basics Physical Therapy</x:v>
      </x:c>
      <x:c r="B95" s="10" t="str">
        <x:v>Pelvic-Floor / Postpartum PT</x:v>
      </x:c>
      <x:c r="C95" s="10" t="str">
        <x:v>New York, NY</x:v>
      </x:c>
      <x:c r="D95" s="10" t="str">
        <x:v>Specialized pelvic-floor physical therapy practice.</x:v>
      </x:c>
      <x:c r="E95" s="10" t="str">
        <x:v>Company website</x:v>
      </x:c>
      <x:c r="F95" s="10" t="str">
        <x:v>https://beyondbasicsphysicaltherapy.com/</x:v>
      </x:c>
      <x:c r="G95" s="16" t="str">
        <x:v>Seed candidate – verify current contact before outreach</x:v>
      </x:c>
      <x:c r="H95" s="43" t="n">
        <x:v>5</x:v>
      </x:c>
      <x:c r="I95" s="43" t="n">
        <x:v>4</x:v>
      </x:c>
      <x:c r="J95" s="43" t="n">
        <x:v>5</x:v>
      </x:c>
      <x:c r="K95" s="43" t="n">
        <x:v>4</x:v>
      </x:c>
      <x:c r="L95" s="43" t="n">
        <x:v>5</x:v>
      </x:c>
      <x:c r="M95" s="43" t="n">
        <x:v>4</x:v>
      </x:c>
      <x:c r="N95" s="44" t="n">
        <x:f>(H95*25%+I95*20%+J95*20%+K95*15%+L95*10%+M95*10%)*20</x:f>
        <x:v>91.00000000000001</x:v>
      </x:c>
      <x:c r="O95" s="10" t="str">
        <x:f>IF(N95&gt;=88,"High",IF(N95&gt;=78,"Medium","Long-term"))</x:f>
        <x:v>High</x:v>
      </x:c>
      <x:c r="P95" s="10" t="str">
        <x:v>Analyst hypothesis based on audience timing, natural referral moment, strategic complementarity, likely decision complexity, trust, and potential user volume. Validate through discovery.</x:v>
      </x:c>
    </x:row>
    <x:row r="96" ht="34" customHeight="1">
      <x:c r="A96" s="15" t="str">
        <x:v>Solstice Physiotherapy</x:v>
      </x:c>
      <x:c r="B96" s="10" t="str">
        <x:v>Pelvic-Floor / Postpartum PT</x:v>
      </x:c>
      <x:c r="C96" s="10" t="str">
        <x:v>New York, NY</x:v>
      </x:c>
      <x:c r="D96" s="10" t="str">
        <x:v>Pelvic-floor and women’s-health physical therapy.</x:v>
      </x:c>
      <x:c r="E96" s="10" t="str">
        <x:v>Company website</x:v>
      </x:c>
      <x:c r="F96" s="10" t="str">
        <x:v>https://solsticept.com/</x:v>
      </x:c>
      <x:c r="G96" s="16" t="str">
        <x:v>Seed candidate – verify current contact before outreach</x:v>
      </x:c>
      <x:c r="H96" s="43" t="n">
        <x:v>5</x:v>
      </x:c>
      <x:c r="I96" s="43" t="n">
        <x:v>4</x:v>
      </x:c>
      <x:c r="J96" s="43" t="n">
        <x:v>5</x:v>
      </x:c>
      <x:c r="K96" s="43" t="n">
        <x:v>5</x:v>
      </x:c>
      <x:c r="L96" s="43" t="n">
        <x:v>5</x:v>
      </x:c>
      <x:c r="M96" s="43" t="n">
        <x:v>3</x:v>
      </x:c>
      <x:c r="N96" s="44" t="n">
        <x:f>(H96*25%+I96*20%+J96*20%+K96*15%+L96*10%+M96*10%)*20</x:f>
        <x:v>92</x:v>
      </x:c>
      <x:c r="O96" s="10" t="str">
        <x:f>IF(N96&gt;=88,"High",IF(N96&gt;=78,"Medium","Long-term"))</x:f>
        <x:v>High</x:v>
      </x:c>
      <x:c r="P96" s="10" t="str">
        <x:v>Analyst hypothesis based on audience timing, natural referral moment, strategic complementarity, likely decision complexity, trust, and potential user volume. Validate through discovery.</x:v>
      </x:c>
    </x:row>
    <x:row r="97" ht="34" customHeight="1">
      <x:c r="A97" s="15" t="str">
        <x:v>PelvicSanity</x:v>
      </x:c>
      <x:c r="B97" s="10" t="str">
        <x:v>Pelvic-Floor / Postpartum PT</x:v>
      </x:c>
      <x:c r="C97" s="10" t="str">
        <x:v>Laguna Hills, CA</x:v>
      </x:c>
      <x:c r="D97" s="10" t="str">
        <x:v>Specialized pelvic-health physical therapy clinic.</x:v>
      </x:c>
      <x:c r="E97" s="10" t="str">
        <x:v>Company website</x:v>
      </x:c>
      <x:c r="F97" s="10" t="str">
        <x:v>https://www.pelvicsanity.com/</x:v>
      </x:c>
      <x:c r="G97" s="16" t="str">
        <x:v>Seed candidate – verify current contact before outreach</x:v>
      </x:c>
      <x:c r="H97" s="43" t="n">
        <x:v>5</x:v>
      </x:c>
      <x:c r="I97" s="43" t="n">
        <x:v>4</x:v>
      </x:c>
      <x:c r="J97" s="43" t="n">
        <x:v>5</x:v>
      </x:c>
      <x:c r="K97" s="43" t="n">
        <x:v>5</x:v>
      </x:c>
      <x:c r="L97" s="43" t="n">
        <x:v>5</x:v>
      </x:c>
      <x:c r="M97" s="43" t="n">
        <x:v>3</x:v>
      </x:c>
      <x:c r="N97" s="44" t="n">
        <x:f>(H97*25%+I97*20%+J97*20%+K97*15%+L97*10%+M97*10%)*20</x:f>
        <x:v>92</x:v>
      </x:c>
      <x:c r="O97" s="10" t="str">
        <x:f>IF(N97&gt;=88,"High",IF(N97&gt;=78,"Medium","Long-term"))</x:f>
        <x:v>High</x:v>
      </x:c>
      <x:c r="P97" s="10" t="str">
        <x:v>Analyst hypothesis based on audience timing, natural referral moment, strategic complementarity, likely decision complexity, trust, and potential user volume. Validate through discovery.</x:v>
      </x:c>
    </x:row>
    <x:row r="98" ht="34" customHeight="1">
      <x:c r="A98" s="15" t="str">
        <x:v>Lady Bird Physical Therapy</x:v>
      </x:c>
      <x:c r="B98" s="10" t="str">
        <x:v>Pelvic-Floor / Postpartum PT</x:v>
      </x:c>
      <x:c r="C98" s="10" t="str">
        <x:v>Austin, TX</x:v>
      </x:c>
      <x:c r="D98" s="10" t="str">
        <x:v>Pelvic-health PT focused on pregnancy and postpartum care.</x:v>
      </x:c>
      <x:c r="E98" s="10" t="str">
        <x:v>Company website</x:v>
      </x:c>
      <x:c r="F98" s="10" t="str">
        <x:v>https://www.ladybirdpt.com/</x:v>
      </x:c>
      <x:c r="G98" s="16" t="str">
        <x:v>Seed candidate – verify current contact before outreach</x:v>
      </x:c>
      <x:c r="H98" s="43" t="n">
        <x:v>5</x:v>
      </x:c>
      <x:c r="I98" s="43" t="n">
        <x:v>4</x:v>
      </x:c>
      <x:c r="J98" s="43" t="n">
        <x:v>5</x:v>
      </x:c>
      <x:c r="K98" s="43" t="n">
        <x:v>5</x:v>
      </x:c>
      <x:c r="L98" s="43" t="n">
        <x:v>5</x:v>
      </x:c>
      <x:c r="M98" s="43" t="n">
        <x:v>3</x:v>
      </x:c>
      <x:c r="N98" s="44" t="n">
        <x:f>(H98*25%+I98*20%+J98*20%+K98*15%+L98*10%+M98*10%)*20</x:f>
        <x:v>92</x:v>
      </x:c>
      <x:c r="O98" s="10" t="str">
        <x:f>IF(N98&gt;=88,"High",IF(N98&gt;=78,"Medium","Long-term"))</x:f>
        <x:v>High</x:v>
      </x:c>
      <x:c r="P98" s="10" t="str">
        <x:v>Analyst hypothesis based on audience timing, natural referral moment, strategic complementarity, likely decision complexity, trust, and potential user volume. Validate through discovery.</x:v>
      </x:c>
    </x:row>
    <x:row r="99" ht="34" customHeight="1">
      <x:c r="A99" s="15" t="str">
        <x:v>Sullivan Physical Therapy</x:v>
      </x:c>
      <x:c r="B99" s="10" t="str">
        <x:v>Pelvic-Floor / Postpartum PT</x:v>
      </x:c>
      <x:c r="C99" s="10" t="str">
        <x:v>Austin, TX</x:v>
      </x:c>
      <x:c r="D99" s="10" t="str">
        <x:v>Pelvic-health physical therapy practice.</x:v>
      </x:c>
      <x:c r="E99" s="10" t="str">
        <x:v>Company website</x:v>
      </x:c>
      <x:c r="F99" s="10" t="str">
        <x:v>https://www.sullivanphysicaltherapy.com/</x:v>
      </x:c>
      <x:c r="G99" s="16" t="str">
        <x:v>Seed candidate – verify current contact before outreach</x:v>
      </x:c>
      <x:c r="H99" s="43" t="n">
        <x:v>5</x:v>
      </x:c>
      <x:c r="I99" s="43" t="n">
        <x:v>4</x:v>
      </x:c>
      <x:c r="J99" s="43" t="n">
        <x:v>5</x:v>
      </x:c>
      <x:c r="K99" s="43" t="n">
        <x:v>5</x:v>
      </x:c>
      <x:c r="L99" s="43" t="n">
        <x:v>5</x:v>
      </x:c>
      <x:c r="M99" s="43" t="n">
        <x:v>3</x:v>
      </x:c>
      <x:c r="N99" s="44" t="n">
        <x:f>(H99*25%+I99*20%+J99*20%+K99*15%+L99*10%+M99*10%)*20</x:f>
        <x:v>92</x:v>
      </x:c>
      <x:c r="O99" s="10" t="str">
        <x:f>IF(N99&gt;=88,"High",IF(N99&gt;=78,"Medium","Long-term"))</x:f>
        <x:v>High</x:v>
      </x:c>
      <x:c r="P99" s="10" t="str">
        <x:v>Analyst hypothesis based on audience timing, natural referral moment, strategic complementarity, likely decision complexity, trust, and potential user volume. Validate through discovery.</x:v>
      </x:c>
    </x:row>
    <x:row r="100" ht="34" customHeight="1">
      <x:c r="A100" s="15" t="str">
        <x:v>N2 Physical Therapy</x:v>
      </x:c>
      <x:c r="B100" s="10" t="str">
        <x:v>Pelvic-Floor / Postpartum PT</x:v>
      </x:c>
      <x:c r="C100" s="10" t="str">
        <x:v>Colorado</x:v>
      </x:c>
      <x:c r="D100" s="10" t="str">
        <x:v>Pelvic-health and orthopedic physical therapy practice.</x:v>
      </x:c>
      <x:c r="E100" s="10" t="str">
        <x:v>Company website</x:v>
      </x:c>
      <x:c r="F100" s="10" t="str">
        <x:v>https://n2physicaltherapy.com/</x:v>
      </x:c>
      <x:c r="G100" s="16" t="str">
        <x:v>Seed candidate – verify current contact before outreach</x:v>
      </x:c>
      <x:c r="H100" s="43" t="n">
        <x:v>5</x:v>
      </x:c>
      <x:c r="I100" s="43" t="n">
        <x:v>4</x:v>
      </x:c>
      <x:c r="J100" s="43" t="n">
        <x:v>5</x:v>
      </x:c>
      <x:c r="K100" s="43" t="n">
        <x:v>4</x:v>
      </x:c>
      <x:c r="L100" s="43" t="n">
        <x:v>5</x:v>
      </x:c>
      <x:c r="M100" s="43" t="n">
        <x:v>3</x:v>
      </x:c>
      <x:c r="N100" s="44" t="n">
        <x:f>(H100*25%+I100*20%+J100*20%+K100*15%+L100*10%+M100*10%)*20</x:f>
        <x:v>89</x:v>
      </x:c>
      <x:c r="O100" s="10" t="str">
        <x:f>IF(N100&gt;=88,"High",IF(N100&gt;=78,"Medium","Long-term"))</x:f>
        <x:v>High</x:v>
      </x:c>
      <x:c r="P100" s="10" t="str">
        <x:v>Analyst hypothesis based on audience timing, natural referral moment, strategic complementarity, likely decision complexity, trust, and potential user volume. Validate through discovery.</x:v>
      </x:c>
    </x:row>
    <x:row r="101" ht="34" customHeight="1">
      <x:c r="A101" s="15" t="str">
        <x:v>Restore Motion</x:v>
      </x:c>
      <x:c r="B101" s="10" t="str">
        <x:v>Pelvic-Floor / Postpartum PT</x:v>
      </x:c>
      <x:c r="C101" s="10" t="str">
        <x:v>Maryland / DC</x:v>
      </x:c>
      <x:c r="D101" s="10" t="str">
        <x:v>Pelvic-health physical therapy and women’s-health services.</x:v>
      </x:c>
      <x:c r="E101" s="10" t="str">
        <x:v>Company website</x:v>
      </x:c>
      <x:c r="F101" s="10" t="str">
        <x:v>https://restoremotion.com/</x:v>
      </x:c>
      <x:c r="G101" s="16" t="str">
        <x:v>Seed candidate – verify current contact before outreach</x:v>
      </x:c>
      <x:c r="H101" s="43" t="n">
        <x:v>5</x:v>
      </x:c>
      <x:c r="I101" s="43" t="n">
        <x:v>4</x:v>
      </x:c>
      <x:c r="J101" s="43" t="n">
        <x:v>5</x:v>
      </x:c>
      <x:c r="K101" s="43" t="n">
        <x:v>4</x:v>
      </x:c>
      <x:c r="L101" s="43" t="n">
        <x:v>5</x:v>
      </x:c>
      <x:c r="M101" s="43" t="n">
        <x:v>3</x:v>
      </x:c>
      <x:c r="N101" s="44" t="n">
        <x:f>(H101*25%+I101*20%+J101*20%+K101*15%+L101*10%+M101*10%)*20</x:f>
        <x:v>89</x:v>
      </x:c>
      <x:c r="O101" s="10" t="str">
        <x:f>IF(N101&gt;=88,"High",IF(N101&gt;=78,"Medium","Long-term"))</x:f>
        <x:v>High</x:v>
      </x:c>
      <x:c r="P101" s="10" t="str">
        <x:v>Analyst hypothesis based on audience timing, natural referral moment, strategic complementarity, likely decision complexity, trust, and potential user volume. Validate through discovery.</x:v>
      </x:c>
    </x:row>
    <x:row r="102" ht="34" customHeight="1">
      <x:c r="A102" s="15" t="str">
        <x:v>Foundational Concepts</x:v>
      </x:c>
      <x:c r="B102" s="10" t="str">
        <x:v>Pelvic-Floor / Postpartum PT</x:v>
      </x:c>
      <x:c r="C102" s="10" t="str">
        <x:v>Kansas City, MO</x:v>
      </x:c>
      <x:c r="D102" s="10" t="str">
        <x:v>Pelvic-floor physical therapy specialty practice.</x:v>
      </x:c>
      <x:c r="E102" s="10" t="str">
        <x:v>Company website</x:v>
      </x:c>
      <x:c r="F102" s="10" t="str">
        <x:v>https://www.foundationalconcepts.com/</x:v>
      </x:c>
      <x:c r="G102" s="16" t="str">
        <x:v>Seed candidate – verify current contact before outreach</x:v>
      </x:c>
      <x:c r="H102" s="43" t="n">
        <x:v>5</x:v>
      </x:c>
      <x:c r="I102" s="43" t="n">
        <x:v>4</x:v>
      </x:c>
      <x:c r="J102" s="43" t="n">
        <x:v>5</x:v>
      </x:c>
      <x:c r="K102" s="43" t="n">
        <x:v>5</x:v>
      </x:c>
      <x:c r="L102" s="43" t="n">
        <x:v>5</x:v>
      </x:c>
      <x:c r="M102" s="43" t="n">
        <x:v>3</x:v>
      </x:c>
      <x:c r="N102" s="44" t="n">
        <x:f>(H102*25%+I102*20%+J102*20%+K102*15%+L102*10%+M102*10%)*20</x:f>
        <x:v>92</x:v>
      </x:c>
      <x:c r="O102" s="10" t="str">
        <x:f>IF(N102&gt;=88,"High",IF(N102&gt;=78,"Medium","Long-term"))</x:f>
        <x:v>High</x:v>
      </x:c>
      <x:c r="P102" s="10" t="str">
        <x:v>Analyst hypothesis based on audience timing, natural referral moment, strategic complementarity, likely decision complexity, trust, and potential user volume. Validate through discovery.</x:v>
      </x:c>
    </x:row>
    <x:row r="103" ht="34" customHeight="1">
      <x:c r="A103" s="15" t="str">
        <x:v>Spear Physical Therapy – Pelvic Floor</x:v>
      </x:c>
      <x:c r="B103" s="10" t="str">
        <x:v>Pelvic-Floor / Postpartum PT</x:v>
      </x:c>
      <x:c r="C103" s="10" t="str">
        <x:v>New York, NY</x:v>
      </x:c>
      <x:c r="D103" s="10" t="str">
        <x:v>Large PT network with dedicated pelvic-floor program.</x:v>
      </x:c>
      <x:c r="E103" s="10" t="str">
        <x:v>Company website</x:v>
      </x:c>
      <x:c r="F103" s="10" t="str">
        <x:v>https://spearcenter.com/services/pelvic-floor-physical-therapy/</x:v>
      </x:c>
      <x:c r="G103" s="16" t="str">
        <x:v>Seed candidate – verify current contact before outreach</x:v>
      </x:c>
      <x:c r="H103" s="43" t="n">
        <x:v>5</x:v>
      </x:c>
      <x:c r="I103" s="43" t="n">
        <x:v>4</x:v>
      </x:c>
      <x:c r="J103" s="43" t="n">
        <x:v>5</x:v>
      </x:c>
      <x:c r="K103" s="43" t="n">
        <x:v>4</x:v>
      </x:c>
      <x:c r="L103" s="43" t="n">
        <x:v>5</x:v>
      </x:c>
      <x:c r="M103" s="43" t="n">
        <x:v>3</x:v>
      </x:c>
      <x:c r="N103" s="44" t="n">
        <x:f>(H103*25%+I103*20%+J103*20%+K103*15%+L103*10%+M103*10%)*20</x:f>
        <x:v>89</x:v>
      </x:c>
      <x:c r="O103" s="10" t="str">
        <x:f>IF(N103&gt;=88,"High",IF(N103&gt;=78,"Medium","Long-term"))</x:f>
        <x:v>High</x:v>
      </x:c>
      <x:c r="P103" s="10" t="str">
        <x:v>Analyst hypothesis based on audience timing, natural referral moment, strategic complementarity, likely decision complexity, trust, and potential user volume. Validate through discovery.</x:v>
      </x:c>
    </x:row>
    <x:row r="104" ht="34" customHeight="1">
      <x:c r="A104" s="15" t="str">
        <x:v>Agile Physical Therapy – Pelvic Health</x:v>
      </x:c>
      <x:c r="B104" s="10" t="str">
        <x:v>Pelvic-Floor / Postpartum PT</x:v>
      </x:c>
      <x:c r="C104" s="10" t="str">
        <x:v>Bay Area, CA</x:v>
      </x:c>
      <x:c r="D104" s="10" t="str">
        <x:v>Regional PT provider with pelvic-health specialty.</x:v>
      </x:c>
      <x:c r="E104" s="10" t="str">
        <x:v>Company website</x:v>
      </x:c>
      <x:c r="F104" s="10" t="str">
        <x:v>https://agilept.com/</x:v>
      </x:c>
      <x:c r="G104" s="16" t="str">
        <x:v>Seed candidate – verify current contact before outreach</x:v>
      </x:c>
      <x:c r="H104" s="43" t="n">
        <x:v>5</x:v>
      </x:c>
      <x:c r="I104" s="43" t="n">
        <x:v>4</x:v>
      </x:c>
      <x:c r="J104" s="43" t="n">
        <x:v>5</x:v>
      </x:c>
      <x:c r="K104" s="43" t="n">
        <x:v>4</x:v>
      </x:c>
      <x:c r="L104" s="43" t="n">
        <x:v>5</x:v>
      </x:c>
      <x:c r="M104" s="43" t="n">
        <x:v>3</x:v>
      </x:c>
      <x:c r="N104" s="44" t="n">
        <x:f>(H104*25%+I104*20%+J104*20%+K104*15%+L104*10%+M104*10%)*20</x:f>
        <x:v>89</x:v>
      </x:c>
      <x:c r="O104" s="10" t="str">
        <x:f>IF(N104&gt;=88,"High",IF(N104&gt;=78,"Medium","Long-term"))</x:f>
        <x:v>High</x:v>
      </x:c>
      <x:c r="P104" s="10" t="str">
        <x:v>Analyst hypothesis based on audience timing, natural referral moment, strategic complementarity, likely decision complexity, trust, and potential user volume. Validate through discovery.</x:v>
      </x:c>
    </x:row>
    <x:row r="105" ht="34" customHeight="1">
      <x:c r="A105" s="15" t="str">
        <x:v>MOTION PT Group – Pelvic Health</x:v>
      </x:c>
      <x:c r="B105" s="10" t="str">
        <x:v>Pelvic-Floor / Postpartum PT</x:v>
      </x:c>
      <x:c r="C105" s="10" t="str">
        <x:v>Northeast</x:v>
      </x:c>
      <x:c r="D105" s="10" t="str">
        <x:v>Large PT network with pelvic-health services.</x:v>
      </x:c>
      <x:c r="E105" s="10" t="str">
        <x:v>Company website</x:v>
      </x:c>
      <x:c r="F105" s="10" t="str">
        <x:v>https://motionptg.com/</x:v>
      </x:c>
      <x:c r="G105" s="16" t="str">
        <x:v>Seed candidate – verify current contact before outreach</x:v>
      </x:c>
      <x:c r="H105" s="43" t="n">
        <x:v>5</x:v>
      </x:c>
      <x:c r="I105" s="43" t="n">
        <x:v>4</x:v>
      </x:c>
      <x:c r="J105" s="43" t="n">
        <x:v>5</x:v>
      </x:c>
      <x:c r="K105" s="43" t="n">
        <x:v>4</x:v>
      </x:c>
      <x:c r="L105" s="43" t="n">
        <x:v>5</x:v>
      </x:c>
      <x:c r="M105" s="43" t="n">
        <x:v>3</x:v>
      </x:c>
      <x:c r="N105" s="44" t="n">
        <x:f>(H105*25%+I105*20%+J105*20%+K105*15%+L105*10%+M105*10%)*20</x:f>
        <x:v>89</x:v>
      </x:c>
      <x:c r="O105" s="10" t="str">
        <x:f>IF(N105&gt;=88,"High",IF(N105&gt;=78,"Medium","Long-term"))</x:f>
        <x:v>High</x:v>
      </x:c>
      <x:c r="P105" s="10" t="str">
        <x:v>Analyst hypothesis based on audience timing, natural referral moment, strategic complementarity, likely decision complexity, trust, and potential user volume. Validate through discovery.</x:v>
      </x:c>
    </x:row>
    <x:row r="106" ht="34" customHeight="1">
      <x:c r="A106" s="15" t="str">
        <x:v>Renew Physical Therapy</x:v>
      </x:c>
      <x:c r="B106" s="10" t="str">
        <x:v>Pelvic-Floor / Postpartum PT</x:v>
      </x:c>
      <x:c r="C106" s="10" t="str">
        <x:v>New York, NY</x:v>
      </x:c>
      <x:c r="D106" s="10" t="str">
        <x:v>Pelvic-floor and women’s-health PT clinic.</x:v>
      </x:c>
      <x:c r="E106" s="10" t="str">
        <x:v>Company website</x:v>
      </x:c>
      <x:c r="F106" s="10" t="str">
        <x:v>https://renewpt.com/</x:v>
      </x:c>
      <x:c r="G106" s="16" t="str">
        <x:v>Seed candidate – verify current contact before outreach</x:v>
      </x:c>
      <x:c r="H106" s="43" t="n">
        <x:v>5</x:v>
      </x:c>
      <x:c r="I106" s="43" t="n">
        <x:v>4</x:v>
      </x:c>
      <x:c r="J106" s="43" t="n">
        <x:v>5</x:v>
      </x:c>
      <x:c r="K106" s="43" t="n">
        <x:v>5</x:v>
      </x:c>
      <x:c r="L106" s="43" t="n">
        <x:v>5</x:v>
      </x:c>
      <x:c r="M106" s="43" t="n">
        <x:v>3</x:v>
      </x:c>
      <x:c r="N106" s="44" t="n">
        <x:f>(H106*25%+I106*20%+J106*20%+K106*15%+L106*10%+M106*10%)*20</x:f>
        <x:v>92</x:v>
      </x:c>
      <x:c r="O106" s="10" t="str">
        <x:f>IF(N106&gt;=88,"High",IF(N106&gt;=78,"Medium","Long-term"))</x:f>
        <x:v>High</x:v>
      </x:c>
      <x:c r="P106" s="10" t="str">
        <x:v>Analyst hypothesis based on audience timing, natural referral moment, strategic complementarity, likely decision complexity, trust, and potential user volume. Validate through discovery.</x:v>
      </x:c>
    </x:row>
    <x:row r="107" ht="34" customHeight="1">
      <x:c r="A107" s="15" t="str">
        <x:v>Thrive Physical Therapy</x:v>
      </x:c>
      <x:c r="B107" s="10" t="str">
        <x:v>Pelvic-Floor / Postpartum PT</x:v>
      </x:c>
      <x:c r="C107" s="10" t="str">
        <x:v>Multiple locations</x:v>
      </x:c>
      <x:c r="D107" s="10" t="str">
        <x:v>Physical therapy practice with pelvic-health services.</x:v>
      </x:c>
      <x:c r="E107" s="10" t="str">
        <x:v>Company website</x:v>
      </x:c>
      <x:c r="F107" s="10" t="str">
        <x:v>https://thrivept.com/</x:v>
      </x:c>
      <x:c r="G107" s="16" t="str">
        <x:v>Seed candidate – verify current contact before outreach</x:v>
      </x:c>
      <x:c r="H107" s="43" t="n">
        <x:v>5</x:v>
      </x:c>
      <x:c r="I107" s="43" t="n">
        <x:v>4</x:v>
      </x:c>
      <x:c r="J107" s="43" t="n">
        <x:v>5</x:v>
      </x:c>
      <x:c r="K107" s="43" t="n">
        <x:v>4</x:v>
      </x:c>
      <x:c r="L107" s="43" t="n">
        <x:v>5</x:v>
      </x:c>
      <x:c r="M107" s="43" t="n">
        <x:v>3</x:v>
      </x:c>
      <x:c r="N107" s="44" t="n">
        <x:f>(H107*25%+I107*20%+J107*20%+K107*15%+L107*10%+M107*10%)*20</x:f>
        <x:v>89</x:v>
      </x:c>
      <x:c r="O107" s="10" t="str">
        <x:f>IF(N107&gt;=88,"High",IF(N107&gt;=78,"Medium","Long-term"))</x:f>
        <x:v>High</x:v>
      </x:c>
      <x:c r="P107" s="10" t="str">
        <x:v>Analyst hypothesis based on audience timing, natural referral moment, strategic complementarity, likely decision complexity, trust, and potential user volume. Validate through discovery.</x:v>
      </x:c>
    </x:row>
    <x:row r="108" ht="34" customHeight="1">
      <x:c r="A108" s="15" t="str">
        <x:v>Hoag Pelvic Health Program</x:v>
      </x:c>
      <x:c r="B108" s="10" t="str">
        <x:v>Pelvic-Floor / Postpartum PT</x:v>
      </x:c>
      <x:c r="C108" s="10" t="str">
        <x:v>Orange County, CA</x:v>
      </x:c>
      <x:c r="D108" s="10" t="str">
        <x:v>Hospital-based pelvic-health program with specialized PT.</x:v>
      </x:c>
      <x:c r="E108" s="10" t="str">
        <x:v>Health-system website</x:v>
      </x:c>
      <x:c r="F108" s="10" t="str">
        <x:v>https://www.hoag.org/programs/pelvic-health/</x:v>
      </x:c>
      <x:c r="G108" s="16" t="str">
        <x:v>Seed candidate – verify current contact before outreach</x:v>
      </x:c>
      <x:c r="H108" s="43" t="n">
        <x:v>5</x:v>
      </x:c>
      <x:c r="I108" s="43" t="n">
        <x:v>4</x:v>
      </x:c>
      <x:c r="J108" s="43" t="n">
        <x:v>5</x:v>
      </x:c>
      <x:c r="K108" s="43" t="n">
        <x:v>3</x:v>
      </x:c>
      <x:c r="L108" s="43" t="n">
        <x:v>5</x:v>
      </x:c>
      <x:c r="M108" s="43" t="n">
        <x:v>4</x:v>
      </x:c>
      <x:c r="N108" s="44" t="n">
        <x:f>(H108*25%+I108*20%+J108*20%+K108*15%+L108*10%+M108*10%)*20</x:f>
        <x:v>88</x:v>
      </x:c>
      <x:c r="O108" s="10" t="str">
        <x:f>IF(N108&gt;=88,"High",IF(N108&gt;=78,"Medium","Long-term"))</x:f>
        <x:v>High</x:v>
      </x:c>
      <x:c r="P108" s="10" t="str">
        <x:v>Analyst hypothesis based on audience timing, natural referral moment, strategic complementarity, likely decision complexity, trust, and potential user volume. Validate through discovery.</x:v>
      </x:c>
    </x:row>
    <x:row r="109" ht="34" customHeight="1">
      <x:c r="A109" s="15" t="str">
        <x:v>Stanford Pelvic Health Center</x:v>
      </x:c>
      <x:c r="B109" s="10" t="str">
        <x:v>Pelvic-Floor / Postpartum PT</x:v>
      </x:c>
      <x:c r="C109" s="10" t="str">
        <x:v>Bay Area, CA</x:v>
      </x:c>
      <x:c r="D109" s="10" t="str">
        <x:v>Academic pelvic-health program serving women with pelvic-floor needs.</x:v>
      </x:c>
      <x:c r="E109" s="10" t="str">
        <x:v>Health-system website</x:v>
      </x:c>
      <x:c r="F109" s="10" t="str">
        <x:v>https://stanfordhealthcare.org/medical-clinics/pelvic-health-center.html</x:v>
      </x:c>
      <x:c r="G109" s="16" t="str">
        <x:v>Seed candidate – verify current contact before outreach</x:v>
      </x:c>
      <x:c r="H109" s="43" t="n">
        <x:v>5</x:v>
      </x:c>
      <x:c r="I109" s="43" t="n">
        <x:v>4</x:v>
      </x:c>
      <x:c r="J109" s="43" t="n">
        <x:v>5</x:v>
      </x:c>
      <x:c r="K109" s="43" t="n">
        <x:v>4</x:v>
      </x:c>
      <x:c r="L109" s="43" t="n">
        <x:v>5</x:v>
      </x:c>
      <x:c r="M109" s="43" t="n">
        <x:v>3</x:v>
      </x:c>
      <x:c r="N109" s="44" t="n">
        <x:f>(H109*25%+I109*20%+J109*20%+K109*15%+L109*10%+M109*10%)*20</x:f>
        <x:v>89</x:v>
      </x:c>
      <x:c r="O109" s="10" t="str">
        <x:f>IF(N109&gt;=88,"High",IF(N109&gt;=78,"Medium","Long-term"))</x:f>
        <x:v>High</x:v>
      </x:c>
      <x:c r="P109" s="10" t="str">
        <x:v>Analyst hypothesis based on audience timing, natural referral moment, strategic complementarity, likely decision complexity, trust, and potential user volume. Validate through discovery.</x:v>
      </x:c>
    </x:row>
    <x:row r="110" ht="34" customHeight="1">
      <x:c r="A110" s="15" t="str">
        <x:v>UCSF Center for Urogynecology and Women's Pelvic Health</x:v>
      </x:c>
      <x:c r="B110" s="10" t="str">
        <x:v>Pelvic-Floor / Postpartum PT</x:v>
      </x:c>
      <x:c r="C110" s="10" t="str">
        <x:v>San Francisco, CA</x:v>
      </x:c>
      <x:c r="D110" s="10" t="str">
        <x:v>Academic pelvic-health center with high-trust patient base.</x:v>
      </x:c>
      <x:c r="E110" s="10" t="str">
        <x:v>Health-system website</x:v>
      </x:c>
      <x:c r="F110" s="10" t="str">
        <x:v>https://www.ucsfhealth.org/clinics/center-for-urogynecology-and-womens-pelvic-health</x:v>
      </x:c>
      <x:c r="G110" s="16" t="str">
        <x:v>Seed candidate – verify current contact before outreach</x:v>
      </x:c>
      <x:c r="H110" s="43" t="n">
        <x:v>5</x:v>
      </x:c>
      <x:c r="I110" s="43" t="n">
        <x:v>4</x:v>
      </x:c>
      <x:c r="J110" s="43" t="n">
        <x:v>5</x:v>
      </x:c>
      <x:c r="K110" s="43" t="n">
        <x:v>3</x:v>
      </x:c>
      <x:c r="L110" s="43" t="n">
        <x:v>5</x:v>
      </x:c>
      <x:c r="M110" s="43" t="n">
        <x:v>4</x:v>
      </x:c>
      <x:c r="N110" s="44" t="n">
        <x:f>(H110*25%+I110*20%+J110*20%+K110*15%+L110*10%+M110*10%)*20</x:f>
        <x:v>88</x:v>
      </x:c>
      <x:c r="O110" s="10" t="str">
        <x:f>IF(N110&gt;=88,"High",IF(N110&gt;=78,"Medium","Long-term"))</x:f>
        <x:v>High</x:v>
      </x:c>
      <x:c r="P110" s="10" t="str">
        <x:v>Analyst hypothesis based on audience timing, natural referral moment, strategic complementarity, likely decision complexity, trust, and potential user volume. Validate through discovery.</x:v>
      </x:c>
    </x:row>
    <x:row r="111" ht="34" customHeight="1">
      <x:c r="A111" s="15" t="str">
        <x:v>Northwestern Medicine Pelvic Health</x:v>
      </x:c>
      <x:c r="B111" s="10" t="str">
        <x:v>Pelvic-Floor / Postpartum PT</x:v>
      </x:c>
      <x:c r="C111" s="10" t="str">
        <x:v>Chicago, IL</x:v>
      </x:c>
      <x:c r="D111" s="10" t="str">
        <x:v>Large health-system pelvic-health program.</x:v>
      </x:c>
      <x:c r="E111" s="10" t="str">
        <x:v>Health-system website</x:v>
      </x:c>
      <x:c r="F111" s="10" t="str">
        <x:v>https://www.nm.org/conditions-and-care-areas/womens-health/pelvic-health</x:v>
      </x:c>
      <x:c r="G111" s="16" t="str">
        <x:v>Seed candidate – verify current contact before outreach</x:v>
      </x:c>
      <x:c r="H111" s="43" t="n">
        <x:v>5</x:v>
      </x:c>
      <x:c r="I111" s="43" t="n">
        <x:v>4</x:v>
      </x:c>
      <x:c r="J111" s="43" t="n">
        <x:v>5</x:v>
      </x:c>
      <x:c r="K111" s="43" t="n">
        <x:v>3</x:v>
      </x:c>
      <x:c r="L111" s="43" t="n">
        <x:v>5</x:v>
      </x:c>
      <x:c r="M111" s="43" t="n">
        <x:v>4</x:v>
      </x:c>
      <x:c r="N111" s="44" t="n">
        <x:f>(H111*25%+I111*20%+J111*20%+K111*15%+L111*10%+M111*10%)*20</x:f>
        <x:v>88</x:v>
      </x:c>
      <x:c r="O111" s="10" t="str">
        <x:f>IF(N111&gt;=88,"High",IF(N111&gt;=78,"Medium","Long-term"))</x:f>
        <x:v>High</x:v>
      </x:c>
      <x:c r="P111" s="10" t="str">
        <x:v>Analyst hypothesis based on audience timing, natural referral moment, strategic complementarity, likely decision complexity, trust, and potential user volume. Validate through discovery.</x:v>
      </x:c>
    </x:row>
    <x:row r="112" ht="34" customHeight="1">
      <x:c r="A112" s="15" t="str">
        <x:v>Amazon</x:v>
      </x:c>
      <x:c r="B112" s="10" t="str">
        <x:v>Employer / Benefits Platform</x:v>
      </x:c>
      <x:c r="C112" s="10" t="str">
        <x:v>National</x:v>
      </x:c>
      <x:c r="D112" s="10" t="str">
        <x:v>Large employer publicly offering fertility and family-building benefits.</x:v>
      </x:c>
      <x:c r="E112" s="10" t="str">
        <x:v>Employer / benefits source</x:v>
      </x:c>
      <x:c r="F112" s="10" t="str">
        <x:v>https://www.aboutamazon.com/news/workplace/amazon-fertility-benefits-for-employees</x:v>
      </x:c>
      <x:c r="G112" s="16" t="str">
        <x:v>Seed candidate – verify current contact before outreach</x:v>
      </x:c>
      <x:c r="H112" s="43" t="n">
        <x:v>4</x:v>
      </x:c>
      <x:c r="I112" s="43" t="n">
        <x:v>4</x:v>
      </x:c>
      <x:c r="J112" s="43" t="n">
        <x:v>4</x:v>
      </x:c>
      <x:c r="K112" s="43" t="n">
        <x:v>1</x:v>
      </x:c>
      <x:c r="L112" s="43" t="n">
        <x:v>4</x:v>
      </x:c>
      <x:c r="M112" s="43" t="n">
        <x:v>5</x:v>
      </x:c>
      <x:c r="N112" s="44" t="n">
        <x:f>(H112*25%+I112*20%+J112*20%+K112*15%+L112*10%+M112*10%)*20</x:f>
        <x:v>73</x:v>
      </x:c>
      <x:c r="O112" s="10" t="str">
        <x:f>IF(N112&gt;=88,"High",IF(N112&gt;=78,"Medium","Long-term"))</x:f>
        <x:v>Long-term</x:v>
      </x:c>
      <x:c r="P112" s="10" t="str">
        <x:v>Analyst hypothesis based on audience timing, natural referral moment, strategic complementarity, likely decision complexity, trust, and potential user volume. Validate through discovery.</x:v>
      </x:c>
    </x:row>
    <x:row r="113" ht="34" customHeight="1">
      <x:c r="A113" s="15" t="str">
        <x:v>Apple</x:v>
      </x:c>
      <x:c r="B113" s="10" t="str">
        <x:v>Employer / Benefits Platform</x:v>
      </x:c>
      <x:c r="C113" s="10" t="str">
        <x:v>National</x:v>
      </x:c>
      <x:c r="D113" s="10" t="str">
        <x:v>Large employer commonly listed with fertility/family-building benefits.</x:v>
      </x:c>
      <x:c r="E113" s="10" t="str">
        <x:v>Benefits registry</x:v>
      </x:c>
      <x:c r="F113" s="10" t="str">
        <x:v>https://inciid.org/employer-fertility-benefits-registry/</x:v>
      </x:c>
      <x:c r="G113" s="16" t="str">
        <x:v>Seed candidate – verify current contact before outreach</x:v>
      </x:c>
      <x:c r="H113" s="43" t="n">
        <x:v>4</x:v>
      </x:c>
      <x:c r="I113" s="43" t="n">
        <x:v>4</x:v>
      </x:c>
      <x:c r="J113" s="43" t="n">
        <x:v>4</x:v>
      </x:c>
      <x:c r="K113" s="43" t="n">
        <x:v>1</x:v>
      </x:c>
      <x:c r="L113" s="43" t="n">
        <x:v>4</x:v>
      </x:c>
      <x:c r="M113" s="43" t="n">
        <x:v>5</x:v>
      </x:c>
      <x:c r="N113" s="44" t="n">
        <x:f>(H113*25%+I113*20%+J113*20%+K113*15%+L113*10%+M113*10%)*20</x:f>
        <x:v>73</x:v>
      </x:c>
      <x:c r="O113" s="10" t="str">
        <x:f>IF(N113&gt;=88,"High",IF(N113&gt;=78,"Medium","Long-term"))</x:f>
        <x:v>Long-term</x:v>
      </x:c>
      <x:c r="P113" s="10" t="str">
        <x:v>Analyst hypothesis based on audience timing, natural referral moment, strategic complementarity, likely decision complexity, trust, and potential user volume. Validate through discovery.</x:v>
      </x:c>
    </x:row>
    <x:row r="114" ht="34" customHeight="1">
      <x:c r="A114" s="15" t="str">
        <x:v>Google</x:v>
      </x:c>
      <x:c r="B114" s="10" t="str">
        <x:v>Employer / Benefits Platform</x:v>
      </x:c>
      <x:c r="C114" s="10" t="str">
        <x:v>National</x:v>
      </x:c>
      <x:c r="D114" s="10" t="str">
        <x:v>Large employer commonly listed with family-building benefits.</x:v>
      </x:c>
      <x:c r="E114" s="10" t="str">
        <x:v>Benefits registry</x:v>
      </x:c>
      <x:c r="F114" s="10" t="str">
        <x:v>https://inciid.org/employer-fertility-benefits-registry/</x:v>
      </x:c>
      <x:c r="G114" s="16" t="str">
        <x:v>Seed candidate – verify current contact before outreach</x:v>
      </x:c>
      <x:c r="H114" s="43" t="n">
        <x:v>4</x:v>
      </x:c>
      <x:c r="I114" s="43" t="n">
        <x:v>4</x:v>
      </x:c>
      <x:c r="J114" s="43" t="n">
        <x:v>4</x:v>
      </x:c>
      <x:c r="K114" s="43" t="n">
        <x:v>1</x:v>
      </x:c>
      <x:c r="L114" s="43" t="n">
        <x:v>4</x:v>
      </x:c>
      <x:c r="M114" s="43" t="n">
        <x:v>5</x:v>
      </x:c>
      <x:c r="N114" s="44" t="n">
        <x:f>(H114*25%+I114*20%+J114*20%+K114*15%+L114*10%+M114*10%)*20</x:f>
        <x:v>73</x:v>
      </x:c>
      <x:c r="O114" s="10" t="str">
        <x:f>IF(N114&gt;=88,"High",IF(N114&gt;=78,"Medium","Long-term"))</x:f>
        <x:v>Long-term</x:v>
      </x:c>
      <x:c r="P114" s="10" t="str">
        <x:v>Analyst hypothesis based on audience timing, natural referral moment, strategic complementarity, likely decision complexity, trust, and potential user volume. Validate through discovery.</x:v>
      </x:c>
    </x:row>
    <x:row r="115" ht="34" customHeight="1">
      <x:c r="A115" s="15" t="str">
        <x:v>Meta</x:v>
      </x:c>
      <x:c r="B115" s="10" t="str">
        <x:v>Employer / Benefits Platform</x:v>
      </x:c>
      <x:c r="C115" s="10" t="str">
        <x:v>National</x:v>
      </x:c>
      <x:c r="D115" s="10" t="str">
        <x:v>Large employer commonly listed with fertility/family-building benefits.</x:v>
      </x:c>
      <x:c r="E115" s="10" t="str">
        <x:v>Benefits registry</x:v>
      </x:c>
      <x:c r="F115" s="10" t="str">
        <x:v>https://inciid.org/employer-fertility-benefits-registry/</x:v>
      </x:c>
      <x:c r="G115" s="16" t="str">
        <x:v>Seed candidate – verify current contact before outreach</x:v>
      </x:c>
      <x:c r="H115" s="43" t="n">
        <x:v>4</x:v>
      </x:c>
      <x:c r="I115" s="43" t="n">
        <x:v>4</x:v>
      </x:c>
      <x:c r="J115" s="43" t="n">
        <x:v>4</x:v>
      </x:c>
      <x:c r="K115" s="43" t="n">
        <x:v>1</x:v>
      </x:c>
      <x:c r="L115" s="43" t="n">
        <x:v>4</x:v>
      </x:c>
      <x:c r="M115" s="43" t="n">
        <x:v>5</x:v>
      </x:c>
      <x:c r="N115" s="44" t="n">
        <x:f>(H115*25%+I115*20%+J115*20%+K115*15%+L115*10%+M115*10%)*20</x:f>
        <x:v>73</x:v>
      </x:c>
      <x:c r="O115" s="10" t="str">
        <x:f>IF(N115&gt;=88,"High",IF(N115&gt;=78,"Medium","Long-term"))</x:f>
        <x:v>Long-term</x:v>
      </x:c>
      <x:c r="P115" s="10" t="str">
        <x:v>Analyst hypothesis based on audience timing, natural referral moment, strategic complementarity, likely decision complexity, trust, and potential user volume. Validate through discovery.</x:v>
      </x:c>
    </x:row>
    <x:row r="116" ht="34" customHeight="1">
      <x:c r="A116" s="15" t="str">
        <x:v>Salesforce</x:v>
      </x:c>
      <x:c r="B116" s="10" t="str">
        <x:v>Employer / Benefits Platform</x:v>
      </x:c>
      <x:c r="C116" s="10" t="str">
        <x:v>National</x:v>
      </x:c>
      <x:c r="D116" s="10" t="str">
        <x:v>Large employer with documented fertility/IVF benefits.</x:v>
      </x:c>
      <x:c r="E116" s="10" t="str">
        <x:v>Industry benefits article</x:v>
      </x:c>
      <x:c r="F116" s="10" t="str">
        <x:v>https://builtin.com/articles/companies-that-cover-ivf</x:v>
      </x:c>
      <x:c r="G116" s="16" t="str">
        <x:v>Seed candidate – verify current contact before outreach</x:v>
      </x:c>
      <x:c r="H116" s="43" t="n">
        <x:v>4</x:v>
      </x:c>
      <x:c r="I116" s="43" t="n">
        <x:v>4</x:v>
      </x:c>
      <x:c r="J116" s="43" t="n">
        <x:v>4</x:v>
      </x:c>
      <x:c r="K116" s="43" t="n">
        <x:v>1</x:v>
      </x:c>
      <x:c r="L116" s="43" t="n">
        <x:v>4</x:v>
      </x:c>
      <x:c r="M116" s="43" t="n">
        <x:v>5</x:v>
      </x:c>
      <x:c r="N116" s="44" t="n">
        <x:f>(H116*25%+I116*20%+J116*20%+K116*15%+L116*10%+M116*10%)*20</x:f>
        <x:v>73</x:v>
      </x:c>
      <x:c r="O116" s="10" t="str">
        <x:f>IF(N116&gt;=88,"High",IF(N116&gt;=78,"Medium","Long-term"))</x:f>
        <x:v>Long-term</x:v>
      </x:c>
      <x:c r="P116" s="10" t="str">
        <x:v>Analyst hypothesis based on audience timing, natural referral moment, strategic complementarity, likely decision complexity, trust, and potential user volume. Validate through discovery.</x:v>
      </x:c>
    </x:row>
    <x:row r="117" ht="34" customHeight="1">
      <x:c r="A117" s="15" t="str">
        <x:v>Uber</x:v>
      </x:c>
      <x:c r="B117" s="10" t="str">
        <x:v>Employer / Benefits Platform</x:v>
      </x:c>
      <x:c r="C117" s="10" t="str">
        <x:v>National</x:v>
      </x:c>
      <x:c r="D117" s="10" t="str">
        <x:v>Large employer with documented fertility/IVF benefits.</x:v>
      </x:c>
      <x:c r="E117" s="10" t="str">
        <x:v>Industry benefits article</x:v>
      </x:c>
      <x:c r="F117" s="10" t="str">
        <x:v>https://builtin.com/articles/companies-that-cover-ivf</x:v>
      </x:c>
      <x:c r="G117" s="16" t="str">
        <x:v>Seed candidate – verify current contact before outreach</x:v>
      </x:c>
      <x:c r="H117" s="43" t="n">
        <x:v>4</x:v>
      </x:c>
      <x:c r="I117" s="43" t="n">
        <x:v>4</x:v>
      </x:c>
      <x:c r="J117" s="43" t="n">
        <x:v>4</x:v>
      </x:c>
      <x:c r="K117" s="43" t="n">
        <x:v>1</x:v>
      </x:c>
      <x:c r="L117" s="43" t="n">
        <x:v>4</x:v>
      </x:c>
      <x:c r="M117" s="43" t="n">
        <x:v>5</x:v>
      </x:c>
      <x:c r="N117" s="44" t="n">
        <x:f>(H117*25%+I117*20%+J117*20%+K117*15%+L117*10%+M117*10%)*20</x:f>
        <x:v>73</x:v>
      </x:c>
      <x:c r="O117" s="10" t="str">
        <x:f>IF(N117&gt;=88,"High",IF(N117&gt;=78,"Medium","Long-term"))</x:f>
        <x:v>Long-term</x:v>
      </x:c>
      <x:c r="P117" s="10" t="str">
        <x:v>Analyst hypothesis based on audience timing, natural referral moment, strategic complementarity, likely decision complexity, trust, and potential user volume. Validate through discovery.</x:v>
      </x:c>
    </x:row>
    <x:row r="118" ht="34" customHeight="1">
      <x:c r="A118" s="15" t="str">
        <x:v>Pinterest</x:v>
      </x:c>
      <x:c r="B118" s="10" t="str">
        <x:v>Employer / Benefits Platform</x:v>
      </x:c>
      <x:c r="C118" s="10" t="str">
        <x:v>National</x:v>
      </x:c>
      <x:c r="D118" s="10" t="str">
        <x:v>Large employer with documented fertility/IVF benefits.</x:v>
      </x:c>
      <x:c r="E118" s="10" t="str">
        <x:v>Industry benefits article</x:v>
      </x:c>
      <x:c r="F118" s="10" t="str">
        <x:v>https://builtin.com/articles/companies-that-cover-ivf</x:v>
      </x:c>
      <x:c r="G118" s="16" t="str">
        <x:v>Seed candidate – verify current contact before outreach</x:v>
      </x:c>
      <x:c r="H118" s="43" t="n">
        <x:v>4</x:v>
      </x:c>
      <x:c r="I118" s="43" t="n">
        <x:v>4</x:v>
      </x:c>
      <x:c r="J118" s="43" t="n">
        <x:v>4</x:v>
      </x:c>
      <x:c r="K118" s="43" t="n">
        <x:v>2</x:v>
      </x:c>
      <x:c r="L118" s="43" t="n">
        <x:v>4</x:v>
      </x:c>
      <x:c r="M118" s="43" t="n">
        <x:v>5</x:v>
      </x:c>
      <x:c r="N118" s="44" t="n">
        <x:f>(H118*25%+I118*20%+J118*20%+K118*15%+L118*10%+M118*10%)*20</x:f>
        <x:v>76</x:v>
      </x:c>
      <x:c r="O118" s="10" t="str">
        <x:f>IF(N118&gt;=88,"High",IF(N118&gt;=78,"Medium","Long-term"))</x:f>
        <x:v>Long-term</x:v>
      </x:c>
      <x:c r="P118" s="10" t="str">
        <x:v>Analyst hypothesis based on audience timing, natural referral moment, strategic complementarity, likely decision complexity, trust, and potential user volume. Validate through discovery.</x:v>
      </x:c>
    </x:row>
    <x:row r="119" ht="34" customHeight="1">
      <x:c r="A119" s="15" t="str">
        <x:v>Morgan Stanley</x:v>
      </x:c>
      <x:c r="B119" s="10" t="str">
        <x:v>Employer / Benefits Platform</x:v>
      </x:c>
      <x:c r="C119" s="10" t="str">
        <x:v>National</x:v>
      </x:c>
      <x:c r="D119" s="10" t="str">
        <x:v>Large employer included in fertility-benefits employer research.</x:v>
      </x:c>
      <x:c r="E119" s="10" t="str">
        <x:v>Industry benefits article</x:v>
      </x:c>
      <x:c r="F119" s="10" t="str">
        <x:v>https://builtin.com/company-culture/companies-with-fertility-benefits</x:v>
      </x:c>
      <x:c r="G119" s="16" t="str">
        <x:v>Seed candidate – verify current contact before outreach</x:v>
      </x:c>
      <x:c r="H119" s="43" t="n">
        <x:v>4</x:v>
      </x:c>
      <x:c r="I119" s="43" t="n">
        <x:v>4</x:v>
      </x:c>
      <x:c r="J119" s="43" t="n">
        <x:v>4</x:v>
      </x:c>
      <x:c r="K119" s="43" t="n">
        <x:v>1</x:v>
      </x:c>
      <x:c r="L119" s="43" t="n">
        <x:v>4</x:v>
      </x:c>
      <x:c r="M119" s="43" t="n">
        <x:v>5</x:v>
      </x:c>
      <x:c r="N119" s="44" t="n">
        <x:f>(H119*25%+I119*20%+J119*20%+K119*15%+L119*10%+M119*10%)*20</x:f>
        <x:v>73</x:v>
      </x:c>
      <x:c r="O119" s="10" t="str">
        <x:f>IF(N119&gt;=88,"High",IF(N119&gt;=78,"Medium","Long-term"))</x:f>
        <x:v>Long-term</x:v>
      </x:c>
      <x:c r="P119" s="10" t="str">
        <x:v>Analyst hypothesis based on audience timing, natural referral moment, strategic complementarity, likely decision complexity, trust, and potential user volume. Validate through discovery.</x:v>
      </x:c>
    </x:row>
    <x:row r="120" ht="34" customHeight="1">
      <x:c r="A120" s="15" t="str">
        <x:v>EY</x:v>
      </x:c>
      <x:c r="B120" s="10" t="str">
        <x:v>Employer / Benefits Platform</x:v>
      </x:c>
      <x:c r="C120" s="10" t="str">
        <x:v>National</x:v>
      </x:c>
      <x:c r="D120" s="10" t="str">
        <x:v>Large employer with documented fertility/IVF benefits.</x:v>
      </x:c>
      <x:c r="E120" s="10" t="str">
        <x:v>Industry benefits article</x:v>
      </x:c>
      <x:c r="F120" s="10" t="str">
        <x:v>https://builtin.com/articles/companies-that-cover-ivf</x:v>
      </x:c>
      <x:c r="G120" s="16" t="str">
        <x:v>Seed candidate – verify current contact before outreach</x:v>
      </x:c>
      <x:c r="H120" s="43" t="n">
        <x:v>4</x:v>
      </x:c>
      <x:c r="I120" s="43" t="n">
        <x:v>4</x:v>
      </x:c>
      <x:c r="J120" s="43" t="n">
        <x:v>4</x:v>
      </x:c>
      <x:c r="K120" s="43" t="n">
        <x:v>1</x:v>
      </x:c>
      <x:c r="L120" s="43" t="n">
        <x:v>4</x:v>
      </x:c>
      <x:c r="M120" s="43" t="n">
        <x:v>5</x:v>
      </x:c>
      <x:c r="N120" s="44" t="n">
        <x:f>(H120*25%+I120*20%+J120*20%+K120*15%+L120*10%+M120*10%)*20</x:f>
        <x:v>73</x:v>
      </x:c>
      <x:c r="O120" s="10" t="str">
        <x:f>IF(N120&gt;=88,"High",IF(N120&gt;=78,"Medium","Long-term"))</x:f>
        <x:v>Long-term</x:v>
      </x:c>
      <x:c r="P120" s="10" t="str">
        <x:v>Analyst hypothesis based on audience timing, natural referral moment, strategic complementarity, likely decision complexity, trust, and potential user volume. Validate through discovery.</x:v>
      </x:c>
    </x:row>
    <x:row r="121" ht="34" customHeight="1">
      <x:c r="A121" s="15" t="str">
        <x:v>Toast</x:v>
      </x:c>
      <x:c r="B121" s="10" t="str">
        <x:v>Employer / Benefits Platform</x:v>
      </x:c>
      <x:c r="C121" s="10" t="str">
        <x:v>National</x:v>
      </x:c>
      <x:c r="D121" s="10" t="str">
        <x:v>Employer with documented IVF/fertility benefits.</x:v>
      </x:c>
      <x:c r="E121" s="10" t="str">
        <x:v>Industry benefits article</x:v>
      </x:c>
      <x:c r="F121" s="10" t="str">
        <x:v>https://builtin.com/articles/companies-that-cover-ivf</x:v>
      </x:c>
      <x:c r="G121" s="16" t="str">
        <x:v>Seed candidate – verify current contact before outreach</x:v>
      </x:c>
      <x:c r="H121" s="43" t="n">
        <x:v>4</x:v>
      </x:c>
      <x:c r="I121" s="43" t="n">
        <x:v>4</x:v>
      </x:c>
      <x:c r="J121" s="43" t="n">
        <x:v>4</x:v>
      </x:c>
      <x:c r="K121" s="43" t="n">
        <x:v>2</x:v>
      </x:c>
      <x:c r="L121" s="43" t="n">
        <x:v>4</x:v>
      </x:c>
      <x:c r="M121" s="43" t="n">
        <x:v>5</x:v>
      </x:c>
      <x:c r="N121" s="44" t="n">
        <x:f>(H121*25%+I121*20%+J121*20%+K121*15%+L121*10%+M121*10%)*20</x:f>
        <x:v>76</x:v>
      </x:c>
      <x:c r="O121" s="10" t="str">
        <x:f>IF(N121&gt;=88,"High",IF(N121&gt;=78,"Medium","Long-term"))</x:f>
        <x:v>Long-term</x:v>
      </x:c>
      <x:c r="P121" s="10" t="str">
        <x:v>Analyst hypothesis based on audience timing, natural referral moment, strategic complementarity, likely decision complexity, trust, and potential user volume. Validate through discovery.</x:v>
      </x:c>
    </x:row>
    <x:row r="122" ht="34" customHeight="1">
      <x:c r="A122" s="15" t="str">
        <x:v>Niagara Bottling</x:v>
      </x:c>
      <x:c r="B122" s="10" t="str">
        <x:v>Employer / Benefits Platform</x:v>
      </x:c>
      <x:c r="C122" s="10" t="str">
        <x:v>National</x:v>
      </x:c>
      <x:c r="D122" s="10" t="str">
        <x:v>Employer with documented IVF/fertility benefits.</x:v>
      </x:c>
      <x:c r="E122" s="10" t="str">
        <x:v>Industry benefits article</x:v>
      </x:c>
      <x:c r="F122" s="10" t="str">
        <x:v>https://builtin.com/articles/companies-that-cover-ivf</x:v>
      </x:c>
      <x:c r="G122" s="16" t="str">
        <x:v>Seed candidate – verify current contact before outreach</x:v>
      </x:c>
      <x:c r="H122" s="43" t="n">
        <x:v>4</x:v>
      </x:c>
      <x:c r="I122" s="43" t="n">
        <x:v>4</x:v>
      </x:c>
      <x:c r="J122" s="43" t="n">
        <x:v>4</x:v>
      </x:c>
      <x:c r="K122" s="43" t="n">
        <x:v>2</x:v>
      </x:c>
      <x:c r="L122" s="43" t="n">
        <x:v>4</x:v>
      </x:c>
      <x:c r="M122" s="43" t="n">
        <x:v>5</x:v>
      </x:c>
      <x:c r="N122" s="44" t="n">
        <x:f>(H122*25%+I122*20%+J122*20%+K122*15%+L122*10%+M122*10%)*20</x:f>
        <x:v>76</x:v>
      </x:c>
      <x:c r="O122" s="10" t="str">
        <x:f>IF(N122&gt;=88,"High",IF(N122&gt;=78,"Medium","Long-term"))</x:f>
        <x:v>Long-term</x:v>
      </x:c>
      <x:c r="P122" s="10" t="str">
        <x:v>Analyst hypothesis based on audience timing, natural referral moment, strategic complementarity, likely decision complexity, trust, and potential user volume. Validate through discovery.</x:v>
      </x:c>
    </x:row>
    <x:row r="123" ht="34" customHeight="1">
      <x:c r="A123" s="15" t="str">
        <x:v>Progyny</x:v>
      </x:c>
      <x:c r="B123" s="10" t="str">
        <x:v>Employer / Benefits Platform</x:v>
      </x:c>
      <x:c r="C123" s="10" t="str">
        <x:v>National</x:v>
      </x:c>
      <x:c r="D123" s="10" t="str">
        <x:v>Family-building benefit platform; channel to employer populations.</x:v>
      </x:c>
      <x:c r="E123" s="10" t="str">
        <x:v>Company website</x:v>
      </x:c>
      <x:c r="F123" s="10" t="str">
        <x:v>https://progyny.com/</x:v>
      </x:c>
      <x:c r="G123" s="16" t="str">
        <x:v>Seed candidate – verify current contact before outreach</x:v>
      </x:c>
      <x:c r="H123" s="43" t="n">
        <x:v>4</x:v>
      </x:c>
      <x:c r="I123" s="43" t="n">
        <x:v>5</x:v>
      </x:c>
      <x:c r="J123" s="43" t="n">
        <x:v>5</x:v>
      </x:c>
      <x:c r="K123" s="43" t="n">
        <x:v>2</x:v>
      </x:c>
      <x:c r="L123" s="43" t="n">
        <x:v>4</x:v>
      </x:c>
      <x:c r="M123" s="43" t="n">
        <x:v>5</x:v>
      </x:c>
      <x:c r="N123" s="44" t="n">
        <x:f>(H123*25%+I123*20%+J123*20%+K123*15%+L123*10%+M123*10%)*20</x:f>
        <x:v>83.99999999999999</x:v>
      </x:c>
      <x:c r="O123" s="10" t="str">
        <x:f>IF(N123&gt;=88,"High",IF(N123&gt;=78,"Medium","Long-term"))</x:f>
        <x:v>Medium</x:v>
      </x:c>
      <x:c r="P123" s="10" t="str">
        <x:v>Analyst hypothesis based on audience timing, natural referral moment, strategic complementarity, likely decision complexity, trust, and potential user volume. Validate through discovery.</x:v>
      </x:c>
    </x:row>
    <x:row r="124" ht="34" customHeight="1">
      <x:c r="A124" s="15" t="str">
        <x:v>Carrot Fertility</x:v>
      </x:c>
      <x:c r="B124" s="10" t="str">
        <x:v>Employer / Benefits Platform</x:v>
      </x:c>
      <x:c r="C124" s="10" t="str">
        <x:v>National</x:v>
      </x:c>
      <x:c r="D124" s="10" t="str">
        <x:v>Fertility and family-building benefits platform.</x:v>
      </x:c>
      <x:c r="E124" s="10" t="str">
        <x:v>Company website</x:v>
      </x:c>
      <x:c r="F124" s="10" t="str">
        <x:v>https://www.get-carrot.com/</x:v>
      </x:c>
      <x:c r="G124" s="16" t="str">
        <x:v>Seed candidate – verify current contact before outreach</x:v>
      </x:c>
      <x:c r="H124" s="43" t="n">
        <x:v>4</x:v>
      </x:c>
      <x:c r="I124" s="43" t="n">
        <x:v>5</x:v>
      </x:c>
      <x:c r="J124" s="43" t="n">
        <x:v>5</x:v>
      </x:c>
      <x:c r="K124" s="43" t="n">
        <x:v>2</x:v>
      </x:c>
      <x:c r="L124" s="43" t="n">
        <x:v>4</x:v>
      </x:c>
      <x:c r="M124" s="43" t="n">
        <x:v>5</x:v>
      </x:c>
      <x:c r="N124" s="44" t="n">
        <x:f>(H124*25%+I124*20%+J124*20%+K124*15%+L124*10%+M124*10%)*20</x:f>
        <x:v>83.99999999999999</x:v>
      </x:c>
      <x:c r="O124" s="10" t="str">
        <x:f>IF(N124&gt;=88,"High",IF(N124&gt;=78,"Medium","Long-term"))</x:f>
        <x:v>Medium</x:v>
      </x:c>
      <x:c r="P124" s="10" t="str">
        <x:v>Analyst hypothesis based on audience timing, natural referral moment, strategic complementarity, likely decision complexity, trust, and potential user volume. Validate through discovery.</x:v>
      </x:c>
    </x:row>
    <x:row r="125" ht="34" customHeight="1">
      <x:c r="A125" s="15" t="str">
        <x:v>Maven Clinic</x:v>
      </x:c>
      <x:c r="B125" s="10" t="str">
        <x:v>Employer / Benefits Platform</x:v>
      </x:c>
      <x:c r="C125" s="10" t="str">
        <x:v>National</x:v>
      </x:c>
      <x:c r="D125" s="10" t="str">
        <x:v>Employer-sponsored women’s and family health platform.</x:v>
      </x:c>
      <x:c r="E125" s="10" t="str">
        <x:v>Company website</x:v>
      </x:c>
      <x:c r="F125" s="10" t="str">
        <x:v>https://www.mavenclinic.com/</x:v>
      </x:c>
      <x:c r="G125" s="16" t="str">
        <x:v>Seed candidate – verify current contact before outreach</x:v>
      </x:c>
      <x:c r="H125" s="43" t="n">
        <x:v>4</x:v>
      </x:c>
      <x:c r="I125" s="43" t="n">
        <x:v>5</x:v>
      </x:c>
      <x:c r="J125" s="43" t="n">
        <x:v>5</x:v>
      </x:c>
      <x:c r="K125" s="43" t="n">
        <x:v>2</x:v>
      </x:c>
      <x:c r="L125" s="43" t="n">
        <x:v>4</x:v>
      </x:c>
      <x:c r="M125" s="43" t="n">
        <x:v>5</x:v>
      </x:c>
      <x:c r="N125" s="44" t="n">
        <x:f>(H125*25%+I125*20%+J125*20%+K125*15%+L125*10%+M125*10%)*20</x:f>
        <x:v>83.99999999999999</x:v>
      </x:c>
      <x:c r="O125" s="10" t="str">
        <x:f>IF(N125&gt;=88,"High",IF(N125&gt;=78,"Medium","Long-term"))</x:f>
        <x:v>Medium</x:v>
      </x:c>
      <x:c r="P125" s="10" t="str">
        <x:v>Analyst hypothesis based on audience timing, natural referral moment, strategic complementarity, likely decision complexity, trust, and potential user volume. Validate through discovery.</x:v>
      </x:c>
    </x:row>
    <x:row r="126" ht="34" customHeight="1">
      <x:c r="A126" s="15" t="str">
        <x:v>WIN Fertility</x:v>
      </x:c>
      <x:c r="B126" s="10" t="str">
        <x:v>Employer / Benefits Platform</x:v>
      </x:c>
      <x:c r="C126" s="10" t="str">
        <x:v>National</x:v>
      </x:c>
      <x:c r="D126" s="10" t="str">
        <x:v>Employer family-building and fertility benefits provider.</x:v>
      </x:c>
      <x:c r="E126" s="10" t="str">
        <x:v>Company website</x:v>
      </x:c>
      <x:c r="F126" s="10" t="str">
        <x:v>https://www.winfertility.com/</x:v>
      </x:c>
      <x:c r="G126" s="16" t="str">
        <x:v>Seed candidate – verify current contact before outreach</x:v>
      </x:c>
      <x:c r="H126" s="43" t="n">
        <x:v>4</x:v>
      </x:c>
      <x:c r="I126" s="43" t="n">
        <x:v>4</x:v>
      </x:c>
      <x:c r="J126" s="43" t="n">
        <x:v>4</x:v>
      </x:c>
      <x:c r="K126" s="43" t="n">
        <x:v>2</x:v>
      </x:c>
      <x:c r="L126" s="43" t="n">
        <x:v>4</x:v>
      </x:c>
      <x:c r="M126" s="43" t="n">
        <x:v>5</x:v>
      </x:c>
      <x:c r="N126" s="44" t="n">
        <x:f>(H126*25%+I126*20%+J126*20%+K126*15%+L126*10%+M126*10%)*20</x:f>
        <x:v>76</x:v>
      </x:c>
      <x:c r="O126" s="10" t="str">
        <x:f>IF(N126&gt;=88,"High",IF(N126&gt;=78,"Medium","Long-term"))</x:f>
        <x:v>Long-term</x:v>
      </x:c>
      <x:c r="P126" s="10" t="str">
        <x:v>Analyst hypothesis based on audience timing, natural referral moment, strategic complementarity, likely decision complexity, trust, and potential user volume. Validate through discovery.</x:v>
      </x:c>
    </x:row>
    <x:row r="127" ht="34" customHeight="1">
      <x:c r="A127" s="15" t="str">
        <x:v>Kindbody for Employers</x:v>
      </x:c>
      <x:c r="B127" s="10" t="str">
        <x:v>Employer / Benefits Platform</x:v>
      </x:c>
      <x:c r="C127" s="10" t="str">
        <x:v>National</x:v>
      </x:c>
      <x:c r="D127" s="10" t="str">
        <x:v>Employer fertility-benefits and clinic platform.</x:v>
      </x:c>
      <x:c r="E127" s="10" t="str">
        <x:v>Company website</x:v>
      </x:c>
      <x:c r="F127" s="10" t="str">
        <x:v>https://kindbody.com/employers/</x:v>
      </x:c>
      <x:c r="G127" s="16" t="str">
        <x:v>Seed candidate – verify current contact before outreach</x:v>
      </x:c>
      <x:c r="H127" s="43" t="n">
        <x:v>4</x:v>
      </x:c>
      <x:c r="I127" s="43" t="n">
        <x:v>5</x:v>
      </x:c>
      <x:c r="J127" s="43" t="n">
        <x:v>5</x:v>
      </x:c>
      <x:c r="K127" s="43" t="n">
        <x:v>2</x:v>
      </x:c>
      <x:c r="L127" s="43" t="n">
        <x:v>4</x:v>
      </x:c>
      <x:c r="M127" s="43" t="n">
        <x:v>5</x:v>
      </x:c>
      <x:c r="N127" s="44" t="n">
        <x:f>(H127*25%+I127*20%+J127*20%+K127*15%+L127*10%+M127*10%)*20</x:f>
        <x:v>83.99999999999999</x:v>
      </x:c>
      <x:c r="O127" s="10" t="str">
        <x:f>IF(N127&gt;=88,"High",IF(N127&gt;=78,"Medium","Long-term"))</x:f>
        <x:v>Medium</x:v>
      </x:c>
      <x:c r="P127" s="10" t="str">
        <x:v>Analyst hypothesis based on audience timing, natural referral moment, strategic complementarity, likely decision complexity, trust, and potential user volume. Validate through discovery.</x:v>
      </x:c>
    </x:row>
    <x:row r="128" ht="34" customHeight="1">
      <x:c r="A128" s="15" t="str">
        <x:v>Ovia Health by Labcorp</x:v>
      </x:c>
      <x:c r="B128" s="10" t="str">
        <x:v>Employer / Benefits Platform</x:v>
      </x:c>
      <x:c r="C128" s="10" t="str">
        <x:v>National</x:v>
      </x:c>
      <x:c r="D128" s="10" t="str">
        <x:v>Employer-facing reproductive and maternal-health platform.</x:v>
      </x:c>
      <x:c r="E128" s="10" t="str">
        <x:v>Company website</x:v>
      </x:c>
      <x:c r="F128" s="10" t="str">
        <x:v>https://www.oviahealth.com/</x:v>
      </x:c>
      <x:c r="G128" s="16" t="str">
        <x:v>Seed candidate – verify current contact before outreach</x:v>
      </x:c>
      <x:c r="H128" s="43" t="n">
        <x:v>4</x:v>
      </x:c>
      <x:c r="I128" s="43" t="n">
        <x:v>5</x:v>
      </x:c>
      <x:c r="J128" s="43" t="n">
        <x:v>5</x:v>
      </x:c>
      <x:c r="K128" s="43" t="n">
        <x:v>2</x:v>
      </x:c>
      <x:c r="L128" s="43" t="n">
        <x:v>4</x:v>
      </x:c>
      <x:c r="M128" s="43" t="n">
        <x:v>5</x:v>
      </x:c>
      <x:c r="N128" s="44" t="n">
        <x:f>(H128*25%+I128*20%+J128*20%+K128*15%+L128*10%+M128*10%)*20</x:f>
        <x:v>83.99999999999999</x:v>
      </x:c>
      <x:c r="O128" s="10" t="str">
        <x:f>IF(N128&gt;=88,"High",IF(N128&gt;=78,"Medium","Long-term"))</x:f>
        <x:v>Medium</x:v>
      </x:c>
      <x:c r="P128" s="10" t="str">
        <x:v>Analyst hypothesis based on audience timing, natural referral moment, strategic complementarity, likely decision complexity, trust, and potential user volume. Validate through discovery.</x:v>
      </x:c>
    </x:row>
    <x:row r="129" ht="34" customHeight="1">
      <x:c r="A129" s="15" t="str">
        <x:v>Cleo</x:v>
      </x:c>
      <x:c r="B129" s="10" t="str">
        <x:v>Employer / Benefits Platform</x:v>
      </x:c>
      <x:c r="C129" s="10" t="str">
        <x:v>National</x:v>
      </x:c>
      <x:c r="D129" s="10" t="str">
        <x:v>Family-benefits platform for employers.</x:v>
      </x:c>
      <x:c r="E129" s="10" t="str">
        <x:v>Company website</x:v>
      </x:c>
      <x:c r="F129" s="10" t="str">
        <x:v>https://hicleo.com/</x:v>
      </x:c>
      <x:c r="G129" s="16" t="str">
        <x:v>Seed candidate – verify current contact before outreach</x:v>
      </x:c>
      <x:c r="H129" s="43" t="n">
        <x:v>4</x:v>
      </x:c>
      <x:c r="I129" s="43" t="n">
        <x:v>4</x:v>
      </x:c>
      <x:c r="J129" s="43" t="n">
        <x:v>4</x:v>
      </x:c>
      <x:c r="K129" s="43" t="n">
        <x:v>2</x:v>
      </x:c>
      <x:c r="L129" s="43" t="n">
        <x:v>4</x:v>
      </x:c>
      <x:c r="M129" s="43" t="n">
        <x:v>5</x:v>
      </x:c>
      <x:c r="N129" s="44" t="n">
        <x:f>(H129*25%+I129*20%+J129*20%+K129*15%+L129*10%+M129*10%)*20</x:f>
        <x:v>76</x:v>
      </x:c>
      <x:c r="O129" s="10" t="str">
        <x:f>IF(N129&gt;=88,"High",IF(N129&gt;=78,"Medium","Long-term"))</x:f>
        <x:v>Long-term</x:v>
      </x:c>
      <x:c r="P129" s="10" t="str">
        <x:v>Analyst hypothesis based on audience timing, natural referral moment, strategic complementarity, likely decision complexity, trust, and potential user volume. Validate through discovery.</x:v>
      </x:c>
    </x:row>
    <x:row r="130" ht="34" customHeight="1">
      <x:c r="A130" s="15" t="str">
        <x:v>Bright Horizons</x:v>
      </x:c>
      <x:c r="B130" s="10" t="str">
        <x:v>Employer / Benefits Platform</x:v>
      </x:c>
      <x:c r="C130" s="10" t="str">
        <x:v>National</x:v>
      </x:c>
      <x:c r="D130" s="10" t="str">
        <x:v>Large employer-benefits provider serving working parents.</x:v>
      </x:c>
      <x:c r="E130" s="10" t="str">
        <x:v>Company website</x:v>
      </x:c>
      <x:c r="F130" s="10" t="str">
        <x:v>https://www.brighthorizons.com/</x:v>
      </x:c>
      <x:c r="G130" s="16" t="str">
        <x:v>Seed candidate – verify current contact before outreach</x:v>
      </x:c>
      <x:c r="H130" s="43" t="n">
        <x:v>4</x:v>
      </x:c>
      <x:c r="I130" s="43" t="n">
        <x:v>4</x:v>
      </x:c>
      <x:c r="J130" s="43" t="n">
        <x:v>4</x:v>
      </x:c>
      <x:c r="K130" s="43" t="n">
        <x:v>2</x:v>
      </x:c>
      <x:c r="L130" s="43" t="n">
        <x:v>4</x:v>
      </x:c>
      <x:c r="M130" s="43" t="n">
        <x:v>5</x:v>
      </x:c>
      <x:c r="N130" s="44" t="n">
        <x:f>(H130*25%+I130*20%+J130*20%+K130*15%+L130*10%+M130*10%)*20</x:f>
        <x:v>76</x:v>
      </x:c>
      <x:c r="O130" s="10" t="str">
        <x:f>IF(N130&gt;=88,"High",IF(N130&gt;=78,"Medium","Long-term"))</x:f>
        <x:v>Long-term</x:v>
      </x:c>
      <x:c r="P130" s="10" t="str">
        <x:v>Analyst hypothesis based on audience timing, natural referral moment, strategic complementarity, likely decision complexity, trust, and potential user volume. Validate through discovery.</x:v>
      </x:c>
    </x:row>
    <x:row r="131" ht="34" customHeight="1">
      <x:c r="A131" s="15" t="str">
        <x:v>Milk Stork</x:v>
      </x:c>
      <x:c r="B131" s="10" t="str">
        <x:v>Employer / Benefits Platform</x:v>
      </x:c>
      <x:c r="C131" s="10" t="str">
        <x:v>National</x:v>
      </x:c>
      <x:c r="D131" s="10" t="str">
        <x:v>Employer-supported breast-milk shipping benefit for working parents.</x:v>
      </x:c>
      <x:c r="E131" s="10" t="str">
        <x:v>Company website</x:v>
      </x:c>
      <x:c r="F131" s="10" t="str">
        <x:v>https://www.milkstork.com/</x:v>
      </x:c>
      <x:c r="G131" s="16" t="str">
        <x:v>Seed candidate – verify current contact before outreach</x:v>
      </x:c>
      <x:c r="H131" s="43" t="n">
        <x:v>4</x:v>
      </x:c>
      <x:c r="I131" s="43" t="n">
        <x:v>4</x:v>
      </x:c>
      <x:c r="J131" s="43" t="n">
        <x:v>4</x:v>
      </x:c>
      <x:c r="K131" s="43" t="n">
        <x:v>2</x:v>
      </x:c>
      <x:c r="L131" s="43" t="n">
        <x:v>4</x:v>
      </x:c>
      <x:c r="M131" s="43" t="n">
        <x:v>5</x:v>
      </x:c>
      <x:c r="N131" s="44" t="n">
        <x:f>(H131*25%+I131*20%+J131*20%+K131*15%+L131*10%+M131*10%)*20</x:f>
        <x:v>76</x:v>
      </x:c>
      <x:c r="O131" s="10" t="str">
        <x:f>IF(N131&gt;=88,"High",IF(N131&gt;=78,"Medium","Long-term"))</x:f>
        <x:v>Long-term</x:v>
      </x:c>
      <x:c r="P131" s="10" t="str">
        <x:v>Analyst hypothesis based on audience timing, natural referral moment, strategic complementarity, likely decision complexity, trust, and potential user volume. Validate through discovery.</x:v>
      </x:c>
    </x:row>
    <x:row r="132" ht="34" customHeight="1">
      <x:c r="A132" s="15" t="str">
        <x:v>Babylist</x:v>
      </x:c>
      <x:c r="B132" s="10" t="str">
        <x:v>Parenting Consumer Brand / Community</x:v>
      </x:c>
      <x:c r="C132" s="10" t="str">
        <x:v>National</x:v>
      </x:c>
      <x:c r="D132" s="10" t="str">
        <x:v>Large expecting-parent platform and registry; strong distribution potential.</x:v>
      </x:c>
      <x:c r="E132" s="10" t="str">
        <x:v>Company website</x:v>
      </x:c>
      <x:c r="F132" s="10" t="str">
        <x:v>https://www.babylist.com/</x:v>
      </x:c>
      <x:c r="G132" s="16" t="str">
        <x:v>Seed candidate – verify current contact before outreach</x:v>
      </x:c>
      <x:c r="H132" s="43" t="n">
        <x:v>5</x:v>
      </x:c>
      <x:c r="I132" s="43" t="n">
        <x:v>4</x:v>
      </x:c>
      <x:c r="J132" s="43" t="n">
        <x:v>4</x:v>
      </x:c>
      <x:c r="K132" s="43" t="n">
        <x:v>3</x:v>
      </x:c>
      <x:c r="L132" s="43" t="n">
        <x:v>5</x:v>
      </x:c>
      <x:c r="M132" s="43" t="n">
        <x:v>5</x:v>
      </x:c>
      <x:c r="N132" s="44" t="n">
        <x:f>(H132*25%+I132*20%+J132*20%+K132*15%+L132*10%+M132*10%)*20</x:f>
        <x:v>86</x:v>
      </x:c>
      <x:c r="O132" s="10" t="str">
        <x:f>IF(N132&gt;=88,"High",IF(N132&gt;=78,"Medium","Long-term"))</x:f>
        <x:v>Medium</x:v>
      </x:c>
      <x:c r="P132" s="10" t="str">
        <x:v>Analyst hypothesis based on audience timing, natural referral moment, strategic complementarity, likely decision complexity, trust, and potential user volume. Validate through discovery.</x:v>
      </x:c>
    </x:row>
    <x:row r="133" ht="34" customHeight="1">
      <x:c r="A133" s="15" t="str">
        <x:v>BabyCenter</x:v>
      </x:c>
      <x:c r="B133" s="10" t="str">
        <x:v>Parenting Consumer Brand / Community</x:v>
      </x:c>
      <x:c r="C133" s="10" t="str">
        <x:v>National</x:v>
      </x:c>
      <x:c r="D133" s="10" t="str">
        <x:v>Pregnancy and parenting content/app with large expecting-parent audience.</x:v>
      </x:c>
      <x:c r="E133" s="10" t="str">
        <x:v>Company website</x:v>
      </x:c>
      <x:c r="F133" s="10" t="str">
        <x:v>https://www.babycenter.com/</x:v>
      </x:c>
      <x:c r="G133" s="16" t="str">
        <x:v>Seed candidate – verify current contact before outreach</x:v>
      </x:c>
      <x:c r="H133" s="43" t="n">
        <x:v>5</x:v>
      </x:c>
      <x:c r="I133" s="43" t="n">
        <x:v>3</x:v>
      </x:c>
      <x:c r="J133" s="43" t="n">
        <x:v>4</x:v>
      </x:c>
      <x:c r="K133" s="43" t="n">
        <x:v>3</x:v>
      </x:c>
      <x:c r="L133" s="43" t="n">
        <x:v>4</x:v>
      </x:c>
      <x:c r="M133" s="43" t="n">
        <x:v>5</x:v>
      </x:c>
      <x:c r="N133" s="44" t="n">
        <x:f>(H133*25%+I133*20%+J133*20%+K133*15%+L133*10%+M133*10%)*20</x:f>
        <x:v>80</x:v>
      </x:c>
      <x:c r="O133" s="10" t="str">
        <x:f>IF(N133&gt;=88,"High",IF(N133&gt;=78,"Medium","Long-term"))</x:f>
        <x:v>Medium</x:v>
      </x:c>
      <x:c r="P133" s="10" t="str">
        <x:v>Analyst hypothesis based on audience timing, natural referral moment, strategic complementarity, likely decision complexity, trust, and potential user volume. Validate through discovery.</x:v>
      </x:c>
    </x:row>
    <x:row r="134" ht="34" customHeight="1">
      <x:c r="A134" s="15" t="str">
        <x:v>What to Expect</x:v>
      </x:c>
      <x:c r="B134" s="10" t="str">
        <x:v>Parenting Consumer Brand / Community</x:v>
      </x:c>
      <x:c r="C134" s="10" t="str">
        <x:v>National</x:v>
      </x:c>
      <x:c r="D134" s="10" t="str">
        <x:v>Large pregnancy and parenting media/app brand.</x:v>
      </x:c>
      <x:c r="E134" s="10" t="str">
        <x:v>Company website</x:v>
      </x:c>
      <x:c r="F134" s="10" t="str">
        <x:v>https://www.whattoexpect.com/</x:v>
      </x:c>
      <x:c r="G134" s="16" t="str">
        <x:v>Seed candidate – verify current contact before outreach</x:v>
      </x:c>
      <x:c r="H134" s="43" t="n">
        <x:v>5</x:v>
      </x:c>
      <x:c r="I134" s="43" t="n">
        <x:v>3</x:v>
      </x:c>
      <x:c r="J134" s="43" t="n">
        <x:v>4</x:v>
      </x:c>
      <x:c r="K134" s="43" t="n">
        <x:v>3</x:v>
      </x:c>
      <x:c r="L134" s="43" t="n">
        <x:v>4</x:v>
      </x:c>
      <x:c r="M134" s="43" t="n">
        <x:v>5</x:v>
      </x:c>
      <x:c r="N134" s="44" t="n">
        <x:f>(H134*25%+I134*20%+J134*20%+K134*15%+L134*10%+M134*10%)*20</x:f>
        <x:v>80</x:v>
      </x:c>
      <x:c r="O134" s="10" t="str">
        <x:f>IF(N134&gt;=88,"High",IF(N134&gt;=78,"Medium","Long-term"))</x:f>
        <x:v>Medium</x:v>
      </x:c>
      <x:c r="P134" s="10" t="str">
        <x:v>Analyst hypothesis based on audience timing, natural referral moment, strategic complementarity, likely decision complexity, trust, and potential user volume. Validate through discovery.</x:v>
      </x:c>
    </x:row>
    <x:row r="135" ht="34" customHeight="1">
      <x:c r="A135" s="15" t="str">
        <x:v>The Bump</x:v>
      </x:c>
      <x:c r="B135" s="10" t="str">
        <x:v>Parenting Consumer Brand / Community</x:v>
      </x:c>
      <x:c r="C135" s="10" t="str">
        <x:v>National</x:v>
      </x:c>
      <x:c r="D135" s="10" t="str">
        <x:v>Pregnancy, fertility and parenting media platform.</x:v>
      </x:c>
      <x:c r="E135" s="10" t="str">
        <x:v>Company website</x:v>
      </x:c>
      <x:c r="F135" s="10" t="str">
        <x:v>https://www.thebump.com/</x:v>
      </x:c>
      <x:c r="G135" s="16" t="str">
        <x:v>Seed candidate – verify current contact before outreach</x:v>
      </x:c>
      <x:c r="H135" s="43" t="n">
        <x:v>5</x:v>
      </x:c>
      <x:c r="I135" s="43" t="n">
        <x:v>3</x:v>
      </x:c>
      <x:c r="J135" s="43" t="n">
        <x:v>4</x:v>
      </x:c>
      <x:c r="K135" s="43" t="n">
        <x:v>3</x:v>
      </x:c>
      <x:c r="L135" s="43" t="n">
        <x:v>4</x:v>
      </x:c>
      <x:c r="M135" s="43" t="n">
        <x:v>5</x:v>
      </x:c>
      <x:c r="N135" s="44" t="n">
        <x:f>(H135*25%+I135*20%+J135*20%+K135*15%+L135*10%+M135*10%)*20</x:f>
        <x:v>80</x:v>
      </x:c>
      <x:c r="O135" s="10" t="str">
        <x:f>IF(N135&gt;=88,"High",IF(N135&gt;=78,"Medium","Long-term"))</x:f>
        <x:v>Medium</x:v>
      </x:c>
      <x:c r="P135" s="10" t="str">
        <x:v>Analyst hypothesis based on audience timing, natural referral moment, strategic complementarity, likely decision complexity, trust, and potential user volume. Validate through discovery.</x:v>
      </x:c>
    </x:row>
    <x:row r="136" ht="34" customHeight="1">
      <x:c r="A136" s="15" t="str">
        <x:v>Motherly</x:v>
      </x:c>
      <x:c r="B136" s="10" t="str">
        <x:v>Parenting Consumer Brand / Community</x:v>
      </x:c>
      <x:c r="C136" s="10" t="str">
        <x:v>National</x:v>
      </x:c>
      <x:c r="D136" s="10" t="str">
        <x:v>Motherhood-focused media and community brand.</x:v>
      </x:c>
      <x:c r="E136" s="10" t="str">
        <x:v>Company website</x:v>
      </x:c>
      <x:c r="F136" s="10" t="str">
        <x:v>https://www.mother.ly/</x:v>
      </x:c>
      <x:c r="G136" s="16" t="str">
        <x:v>Seed candidate – verify current contact before outreach</x:v>
      </x:c>
      <x:c r="H136" s="43" t="n">
        <x:v>5</x:v>
      </x:c>
      <x:c r="I136" s="43" t="n">
        <x:v>4</x:v>
      </x:c>
      <x:c r="J136" s="43" t="n">
        <x:v>4</x:v>
      </x:c>
      <x:c r="K136" s="43" t="n">
        <x:v>3</x:v>
      </x:c>
      <x:c r="L136" s="43" t="n">
        <x:v>4</x:v>
      </x:c>
      <x:c r="M136" s="43" t="n">
        <x:v>5</x:v>
      </x:c>
      <x:c r="N136" s="44" t="n">
        <x:f>(H136*25%+I136*20%+J136*20%+K136*15%+L136*10%+M136*10%)*20</x:f>
        <x:v>83.99999999999999</x:v>
      </x:c>
      <x:c r="O136" s="10" t="str">
        <x:f>IF(N136&gt;=88,"High",IF(N136&gt;=78,"Medium","Long-term"))</x:f>
        <x:v>Medium</x:v>
      </x:c>
      <x:c r="P136" s="10" t="str">
        <x:v>Analyst hypothesis based on audience timing, natural referral moment, strategic complementarity, likely decision complexity, trust, and potential user volume. Validate through discovery.</x:v>
      </x:c>
    </x:row>
    <x:row r="137" ht="34" customHeight="1">
      <x:c r="A137" s="15" t="str">
        <x:v>Peanut</x:v>
      </x:c>
      <x:c r="B137" s="10" t="str">
        <x:v>Parenting Consumer Brand / Community</x:v>
      </x:c>
      <x:c r="C137" s="10" t="str">
        <x:v>National / Global</x:v>
      </x:c>
      <x:c r="D137" s="10" t="str">
        <x:v>Community app for women across fertility, pregnancy and motherhood.</x:v>
      </x:c>
      <x:c r="E137" s="10" t="str">
        <x:v>Company website</x:v>
      </x:c>
      <x:c r="F137" s="10" t="str">
        <x:v>https://www.peanut-app.io/</x:v>
      </x:c>
      <x:c r="G137" s="16" t="str">
        <x:v>Seed candidate – verify current contact before outreach</x:v>
      </x:c>
      <x:c r="H137" s="43" t="n">
        <x:v>5</x:v>
      </x:c>
      <x:c r="I137" s="43" t="n">
        <x:v>4</x:v>
      </x:c>
      <x:c r="J137" s="43" t="n">
        <x:v>4</x:v>
      </x:c>
      <x:c r="K137" s="43" t="n">
        <x:v>3</x:v>
      </x:c>
      <x:c r="L137" s="43" t="n">
        <x:v>4</x:v>
      </x:c>
      <x:c r="M137" s="43" t="n">
        <x:v>5</x:v>
      </x:c>
      <x:c r="N137" s="44" t="n">
        <x:f>(H137*25%+I137*20%+J137*20%+K137*15%+L137*10%+M137*10%)*20</x:f>
        <x:v>83.99999999999999</x:v>
      </x:c>
      <x:c r="O137" s="10" t="str">
        <x:f>IF(N137&gt;=88,"High",IF(N137&gt;=78,"Medium","Long-term"))</x:f>
        <x:v>Medium</x:v>
      </x:c>
      <x:c r="P137" s="10" t="str">
        <x:v>Analyst hypothesis based on audience timing, natural referral moment, strategic complementarity, likely decision complexity, trust, and potential user volume. Validate through discovery.</x:v>
      </x:c>
    </x:row>
    <x:row r="138" ht="34" customHeight="1">
      <x:c r="A138" s="15" t="str">
        <x:v>Tinyhood</x:v>
      </x:c>
      <x:c r="B138" s="10" t="str">
        <x:v>Parenting Consumer Brand / Community</x:v>
      </x:c>
      <x:c r="C138" s="10" t="str">
        <x:v>National / Virtual</x:v>
      </x:c>
      <x:c r="D138" s="10" t="str">
        <x:v>Parenting education platform with prenatal and newborn classes.</x:v>
      </x:c>
      <x:c r="E138" s="10" t="str">
        <x:v>Company website</x:v>
      </x:c>
      <x:c r="F138" s="10" t="str">
        <x:v>https://www.tinyhood.com/</x:v>
      </x:c>
      <x:c r="G138" s="16" t="str">
        <x:v>Seed candidate – verify current contact before outreach</x:v>
      </x:c>
      <x:c r="H138" s="43" t="n">
        <x:v>5</x:v>
      </x:c>
      <x:c r="I138" s="43" t="n">
        <x:v>3</x:v>
      </x:c>
      <x:c r="J138" s="43" t="n">
        <x:v>4</x:v>
      </x:c>
      <x:c r="K138" s="43" t="n">
        <x:v>3</x:v>
      </x:c>
      <x:c r="L138" s="43" t="n">
        <x:v>4</x:v>
      </x:c>
      <x:c r="M138" s="43" t="n">
        <x:v>5</x:v>
      </x:c>
      <x:c r="N138" s="44" t="n">
        <x:f>(H138*25%+I138*20%+J138*20%+K138*15%+L138*10%+M138*10%)*20</x:f>
        <x:v>80</x:v>
      </x:c>
      <x:c r="O138" s="10" t="str">
        <x:f>IF(N138&gt;=88,"High",IF(N138&gt;=78,"Medium","Long-term"))</x:f>
        <x:v>Medium</x:v>
      </x:c>
      <x:c r="P138" s="10" t="str">
        <x:v>Analyst hypothesis based on audience timing, natural referral moment, strategic complementarity, likely decision complexity, trust, and potential user volume. Validate through discovery.</x:v>
      </x:c>
    </x:row>
    <x:row r="139" ht="34" customHeight="1">
      <x:c r="A139" s="15" t="str">
        <x:v>Huckleberry</x:v>
      </x:c>
      <x:c r="B139" s="10" t="str">
        <x:v>Parenting Consumer Brand / Community</x:v>
      </x:c>
      <x:c r="C139" s="10" t="str">
        <x:v>National / App</x:v>
      </x:c>
      <x:c r="D139" s="10" t="str">
        <x:v>Parenting app focused on baby sleep and routines.</x:v>
      </x:c>
      <x:c r="E139" s="10" t="str">
        <x:v>Company website</x:v>
      </x:c>
      <x:c r="F139" s="10" t="str">
        <x:v>https://huckleberrycare.com/</x:v>
      </x:c>
      <x:c r="G139" s="16" t="str">
        <x:v>Seed candidate – verify current contact before outreach</x:v>
      </x:c>
      <x:c r="H139" s="43" t="n">
        <x:v>5</x:v>
      </x:c>
      <x:c r="I139" s="43" t="n">
        <x:v>3</x:v>
      </x:c>
      <x:c r="J139" s="43" t="n">
        <x:v>4</x:v>
      </x:c>
      <x:c r="K139" s="43" t="n">
        <x:v>3</x:v>
      </x:c>
      <x:c r="L139" s="43" t="n">
        <x:v>4</x:v>
      </x:c>
      <x:c r="M139" s="43" t="n">
        <x:v>5</x:v>
      </x:c>
      <x:c r="N139" s="44" t="n">
        <x:f>(H139*25%+I139*20%+J139*20%+K139*15%+L139*10%+M139*10%)*20</x:f>
        <x:v>80</x:v>
      </x:c>
      <x:c r="O139" s="10" t="str">
        <x:f>IF(N139&gt;=88,"High",IF(N139&gt;=78,"Medium","Long-term"))</x:f>
        <x:v>Medium</x:v>
      </x:c>
      <x:c r="P139" s="10" t="str">
        <x:v>Analyst hypothesis based on audience timing, natural referral moment, strategic complementarity, likely decision complexity, trust, and potential user volume. Validate through discovery.</x:v>
      </x:c>
    </x:row>
    <x:row r="140" ht="34" customHeight="1">
      <x:c r="A140" s="15" t="str">
        <x:v>Nanit</x:v>
      </x:c>
      <x:c r="B140" s="10" t="str">
        <x:v>Parenting Consumer Brand / Community</x:v>
      </x:c>
      <x:c r="C140" s="10" t="str">
        <x:v>National</x:v>
      </x:c>
      <x:c r="D140" s="10" t="str">
        <x:v>Baby-monitoring technology brand with new-parent audience.</x:v>
      </x:c>
      <x:c r="E140" s="10" t="str">
        <x:v>Company website</x:v>
      </x:c>
      <x:c r="F140" s="10" t="str">
        <x:v>https://www.nanit.com/</x:v>
      </x:c>
      <x:c r="G140" s="16" t="str">
        <x:v>Seed candidate – verify current contact before outreach</x:v>
      </x:c>
      <x:c r="H140" s="43" t="n">
        <x:v>5</x:v>
      </x:c>
      <x:c r="I140" s="43" t="n">
        <x:v>2</x:v>
      </x:c>
      <x:c r="J140" s="43" t="n">
        <x:v>4</x:v>
      </x:c>
      <x:c r="K140" s="43" t="n">
        <x:v>3</x:v>
      </x:c>
      <x:c r="L140" s="43" t="n">
        <x:v>4</x:v>
      </x:c>
      <x:c r="M140" s="43" t="n">
        <x:v>5</x:v>
      </x:c>
      <x:c r="N140" s="44" t="n">
        <x:f>(H140*25%+I140*20%+J140*20%+K140*15%+L140*10%+M140*10%)*20</x:f>
        <x:v>76</x:v>
      </x:c>
      <x:c r="O140" s="10" t="str">
        <x:f>IF(N140&gt;=88,"High",IF(N140&gt;=78,"Medium","Long-term"))</x:f>
        <x:v>Long-term</x:v>
      </x:c>
      <x:c r="P140" s="10" t="str">
        <x:v>Analyst hypothesis based on audience timing, natural referral moment, strategic complementarity, likely decision complexity, trust, and potential user volume. Validate through discovery.</x:v>
      </x:c>
    </x:row>
    <x:row r="141" ht="34" customHeight="1">
      <x:c r="A141" s="15" t="str">
        <x:v>Owlet</x:v>
      </x:c>
      <x:c r="B141" s="10" t="str">
        <x:v>Parenting Consumer Brand / Community</x:v>
      </x:c>
      <x:c r="C141" s="10" t="str">
        <x:v>National</x:v>
      </x:c>
      <x:c r="D141" s="10" t="str">
        <x:v>Infant-monitoring technology brand reaching new parents.</x:v>
      </x:c>
      <x:c r="E141" s="10" t="str">
        <x:v>Company website</x:v>
      </x:c>
      <x:c r="F141" s="10" t="str">
        <x:v>https://www.owletcare.com/</x:v>
      </x:c>
      <x:c r="G141" s="16" t="str">
        <x:v>Seed candidate – verify current contact before outreach</x:v>
      </x:c>
      <x:c r="H141" s="43" t="n">
        <x:v>5</x:v>
      </x:c>
      <x:c r="I141" s="43" t="n">
        <x:v>2</x:v>
      </x:c>
      <x:c r="J141" s="43" t="n">
        <x:v>4</x:v>
      </x:c>
      <x:c r="K141" s="43" t="n">
        <x:v>3</x:v>
      </x:c>
      <x:c r="L141" s="43" t="n">
        <x:v>4</x:v>
      </x:c>
      <x:c r="M141" s="43" t="n">
        <x:v>5</x:v>
      </x:c>
      <x:c r="N141" s="44" t="n">
        <x:f>(H141*25%+I141*20%+J141*20%+K141*15%+L141*10%+M141*10%)*20</x:f>
        <x:v>76</x:v>
      </x:c>
      <x:c r="O141" s="10" t="str">
        <x:f>IF(N141&gt;=88,"High",IF(N141&gt;=78,"Medium","Long-term"))</x:f>
        <x:v>Long-term</x:v>
      </x:c>
      <x:c r="P141" s="10" t="str">
        <x:v>Analyst hypothesis based on audience timing, natural referral moment, strategic complementarity, likely decision complexity, trust, and potential user volume. Validate through discovery.</x:v>
      </x:c>
    </x:row>
    <x:row r="142" ht="34" customHeight="1">
      <x:c r="A142" s="15" t="str">
        <x:v>Lovevery</x:v>
      </x:c>
      <x:c r="B142" s="10" t="str">
        <x:v>Parenting Consumer Brand / Community</x:v>
      </x:c>
      <x:c r="C142" s="10" t="str">
        <x:v>National</x:v>
      </x:c>
      <x:c r="D142" s="10" t="str">
        <x:v>Early-childhood subscription brand with new-parent audience.</x:v>
      </x:c>
      <x:c r="E142" s="10" t="str">
        <x:v>Company website</x:v>
      </x:c>
      <x:c r="F142" s="10" t="str">
        <x:v>https://lovevery.com/</x:v>
      </x:c>
      <x:c r="G142" s="16" t="str">
        <x:v>Seed candidate – verify current contact before outreach</x:v>
      </x:c>
      <x:c r="H142" s="43" t="n">
        <x:v>5</x:v>
      </x:c>
      <x:c r="I142" s="43" t="n">
        <x:v>2</x:v>
      </x:c>
      <x:c r="J142" s="43" t="n">
        <x:v>4</x:v>
      </x:c>
      <x:c r="K142" s="43" t="n">
        <x:v>3</x:v>
      </x:c>
      <x:c r="L142" s="43" t="n">
        <x:v>4</x:v>
      </x:c>
      <x:c r="M142" s="43" t="n">
        <x:v>5</x:v>
      </x:c>
      <x:c r="N142" s="44" t="n">
        <x:f>(H142*25%+I142*20%+J142*20%+K142*15%+L142*10%+M142*10%)*20</x:f>
        <x:v>76</x:v>
      </x:c>
      <x:c r="O142" s="10" t="str">
        <x:f>IF(N142&gt;=88,"High",IF(N142&gt;=78,"Medium","Long-term"))</x:f>
        <x:v>Long-term</x:v>
      </x:c>
      <x:c r="P142" s="10" t="str">
        <x:v>Analyst hypothesis based on audience timing, natural referral moment, strategic complementarity, likely decision complexity, trust, and potential user volume. Validate through discovery.</x:v>
      </x:c>
    </x:row>
    <x:row r="143" ht="34" customHeight="1">
      <x:c r="A143" s="15" t="str">
        <x:v>Frida Mom</x:v>
      </x:c>
      <x:c r="B143" s="10" t="str">
        <x:v>Parenting Consumer Brand / Community</x:v>
      </x:c>
      <x:c r="C143" s="10" t="str">
        <x:v>National</x:v>
      </x:c>
      <x:c r="D143" s="10" t="str">
        <x:v>Pregnancy, birth and postpartum consumer brand.</x:v>
      </x:c>
      <x:c r="E143" s="10" t="str">
        <x:v>Company website</x:v>
      </x:c>
      <x:c r="F143" s="10" t="str">
        <x:v>https://frida.com/collections/frida-mom</x:v>
      </x:c>
      <x:c r="G143" s="16" t="str">
        <x:v>Seed candidate – verify current contact before outreach</x:v>
      </x:c>
      <x:c r="H143" s="43" t="n">
        <x:v>5</x:v>
      </x:c>
      <x:c r="I143" s="43" t="n">
        <x:v>4</x:v>
      </x:c>
      <x:c r="J143" s="43" t="n">
        <x:v>5</x:v>
      </x:c>
      <x:c r="K143" s="43" t="n">
        <x:v>3</x:v>
      </x:c>
      <x:c r="L143" s="43" t="n">
        <x:v>4</x:v>
      </x:c>
      <x:c r="M143" s="43" t="n">
        <x:v>5</x:v>
      </x:c>
      <x:c r="N143" s="44" t="n">
        <x:f>(H143*25%+I143*20%+J143*20%+K143*15%+L143*10%+M143*10%)*20</x:f>
        <x:v>88</x:v>
      </x:c>
      <x:c r="O143" s="10" t="str">
        <x:f>IF(N143&gt;=88,"High",IF(N143&gt;=78,"Medium","Long-term"))</x:f>
        <x:v>High</x:v>
      </x:c>
      <x:c r="P143" s="10" t="str">
        <x:v>Analyst hypothesis based on audience timing, natural referral moment, strategic complementarity, likely decision complexity, trust, and potential user volume. Validate through discovery.</x:v>
      </x:c>
    </x:row>
    <x:row r="144" ht="34" customHeight="1">
      <x:c r="A144" s="15" t="str">
        <x:v>Willow</x:v>
      </x:c>
      <x:c r="B144" s="10" t="str">
        <x:v>Parenting Consumer Brand / Community</x:v>
      </x:c>
      <x:c r="C144" s="10" t="str">
        <x:v>National</x:v>
      </x:c>
      <x:c r="D144" s="10" t="str">
        <x:v>Wearable breast-pump brand with breastfeeding audience.</x:v>
      </x:c>
      <x:c r="E144" s="10" t="str">
        <x:v>Company website</x:v>
      </x:c>
      <x:c r="F144" s="10" t="str">
        <x:v>https://onewillow.com/</x:v>
      </x:c>
      <x:c r="G144" s="16" t="str">
        <x:v>Seed candidate – verify current contact before outreach</x:v>
      </x:c>
      <x:c r="H144" s="43" t="n">
        <x:v>5</x:v>
      </x:c>
      <x:c r="I144" s="43" t="n">
        <x:v>4</x:v>
      </x:c>
      <x:c r="J144" s="43" t="n">
        <x:v>5</x:v>
      </x:c>
      <x:c r="K144" s="43" t="n">
        <x:v>3</x:v>
      </x:c>
      <x:c r="L144" s="43" t="n">
        <x:v>4</x:v>
      </x:c>
      <x:c r="M144" s="43" t="n">
        <x:v>5</x:v>
      </x:c>
      <x:c r="N144" s="44" t="n">
        <x:f>(H144*25%+I144*20%+J144*20%+K144*15%+L144*10%+M144*10%)*20</x:f>
        <x:v>88</x:v>
      </x:c>
      <x:c r="O144" s="10" t="str">
        <x:f>IF(N144&gt;=88,"High",IF(N144&gt;=78,"Medium","Long-term"))</x:f>
        <x:v>High</x:v>
      </x:c>
      <x:c r="P144" s="10" t="str">
        <x:v>Analyst hypothesis based on audience timing, natural referral moment, strategic complementarity, likely decision complexity, trust, and potential user volume. Validate through discovery.</x:v>
      </x:c>
    </x:row>
    <x:row r="145" ht="34" customHeight="1">
      <x:c r="A145" s="15" t="str">
        <x:v>Elvie</x:v>
      </x:c>
      <x:c r="B145" s="10" t="str">
        <x:v>Parenting Consumer Brand / Community</x:v>
      </x:c>
      <x:c r="C145" s="10" t="str">
        <x:v>National / Global</x:v>
      </x:c>
      <x:c r="D145" s="10" t="str">
        <x:v>Femtech brand spanning breast pumps and pelvic-floor products.</x:v>
      </x:c>
      <x:c r="E145" s="10" t="str">
        <x:v>Company website</x:v>
      </x:c>
      <x:c r="F145" s="10" t="str">
        <x:v>https://www.elvie.com/</x:v>
      </x:c>
      <x:c r="G145" s="16" t="str">
        <x:v>Seed candidate – verify current contact before outreach</x:v>
      </x:c>
      <x:c r="H145" s="43" t="n">
        <x:v>5</x:v>
      </x:c>
      <x:c r="I145" s="43" t="n">
        <x:v>4</x:v>
      </x:c>
      <x:c r="J145" s="43" t="n">
        <x:v>5</x:v>
      </x:c>
      <x:c r="K145" s="43" t="n">
        <x:v>3</x:v>
      </x:c>
      <x:c r="L145" s="43" t="n">
        <x:v>4</x:v>
      </x:c>
      <x:c r="M145" s="43" t="n">
        <x:v>5</x:v>
      </x:c>
      <x:c r="N145" s="44" t="n">
        <x:f>(H145*25%+I145*20%+J145*20%+K145*15%+L145*10%+M145*10%)*20</x:f>
        <x:v>88</x:v>
      </x:c>
      <x:c r="O145" s="10" t="str">
        <x:f>IF(N145&gt;=88,"High",IF(N145&gt;=78,"Medium","Long-term"))</x:f>
        <x:v>High</x:v>
      </x:c>
      <x:c r="P145" s="10" t="str">
        <x:v>Analyst hypothesis based on audience timing, natural referral moment, strategic complementarity, likely decision complexity, trust, and potential user volume. Validate through discovery.</x:v>
      </x:c>
    </x:row>
    <x:row r="146" ht="34" customHeight="1">
      <x:c r="A146" s="15" t="str">
        <x:v>Hatch</x:v>
      </x:c>
      <x:c r="B146" s="10" t="str">
        <x:v>Parenting Consumer Brand / Community</x:v>
      </x:c>
      <x:c r="C146" s="10" t="str">
        <x:v>National</x:v>
      </x:c>
      <x:c r="D146" s="10" t="str">
        <x:v>Sleep and parenting technology brand.</x:v>
      </x:c>
      <x:c r="E146" s="10" t="str">
        <x:v>Company website</x:v>
      </x:c>
      <x:c r="F146" s="10" t="str">
        <x:v>https://www.hatch.co/</x:v>
      </x:c>
      <x:c r="G146" s="16" t="str">
        <x:v>Seed candidate – verify current contact before outreach</x:v>
      </x:c>
      <x:c r="H146" s="43" t="n">
        <x:v>5</x:v>
      </x:c>
      <x:c r="I146" s="43" t="n">
        <x:v>2</x:v>
      </x:c>
      <x:c r="J146" s="43" t="n">
        <x:v>4</x:v>
      </x:c>
      <x:c r="K146" s="43" t="n">
        <x:v>3</x:v>
      </x:c>
      <x:c r="L146" s="43" t="n">
        <x:v>4</x:v>
      </x:c>
      <x:c r="M146" s="43" t="n">
        <x:v>5</x:v>
      </x:c>
      <x:c r="N146" s="44" t="n">
        <x:f>(H146*25%+I146*20%+J146*20%+K146*15%+L146*10%+M146*10%)*20</x:f>
        <x:v>76</x:v>
      </x:c>
      <x:c r="O146" s="10" t="str">
        <x:f>IF(N146&gt;=88,"High",IF(N146&gt;=78,"Medium","Long-term"))</x:f>
        <x:v>Long-term</x:v>
      </x:c>
      <x:c r="P146" s="10" t="str">
        <x:v>Analyst hypothesis based on audience timing, natural referral moment, strategic complementarity, likely decision complexity, trust, and potential user volume. Validate through discovery.</x:v>
      </x:c>
    </x:row>
    <x:row r="147" ht="34" customHeight="1">
      <x:c r="A147" s="15" t="str">
        <x:v>Bump Boxes</x:v>
      </x:c>
      <x:c r="B147" s="10" t="str">
        <x:v>Parenting Consumer Brand / Community</x:v>
      </x:c>
      <x:c r="C147" s="10" t="str">
        <x:v>National</x:v>
      </x:c>
      <x:c r="D147" s="10" t="str">
        <x:v>Pregnancy subscription-box brand with expecting-parent audience.</x:v>
      </x:c>
      <x:c r="E147" s="10" t="str">
        <x:v>Company website</x:v>
      </x:c>
      <x:c r="F147" s="10" t="str">
        <x:v>https://bumpboxes.com/</x:v>
      </x:c>
      <x:c r="G147" s="16" t="str">
        <x:v>Seed candidate – verify current contact before outreach</x:v>
      </x:c>
      <x:c r="H147" s="43" t="n">
        <x:v>5</x:v>
      </x:c>
      <x:c r="I147" s="43" t="n">
        <x:v>2</x:v>
      </x:c>
      <x:c r="J147" s="43" t="n">
        <x:v>4</x:v>
      </x:c>
      <x:c r="K147" s="43" t="n">
        <x:v>3</x:v>
      </x:c>
      <x:c r="L147" s="43" t="n">
        <x:v>4</x:v>
      </x:c>
      <x:c r="M147" s="43" t="n">
        <x:v>5</x:v>
      </x:c>
      <x:c r="N147" s="44" t="n">
        <x:f>(H147*25%+I147*20%+J147*20%+K147*15%+L147*10%+M147*10%)*20</x:f>
        <x:v>76</x:v>
      </x:c>
      <x:c r="O147" s="10" t="str">
        <x:f>IF(N147&gt;=88,"High",IF(N147&gt;=78,"Medium","Long-term"))</x:f>
        <x:v>Long-term</x:v>
      </x:c>
      <x:c r="P147" s="10" t="str">
        <x:v>Analyst hypothesis based on audience timing, natural referral moment, strategic complementarity, likely decision complexity, trust, and potential user volume. Validate through discovery.</x:v>
      </x:c>
    </x:row>
    <x:row r="148" ht="34" customHeight="1">
      <x:c r="A148" s="15" t="str">
        <x:v>Poppylist</x:v>
      </x:c>
      <x:c r="B148" s="10" t="str">
        <x:v>Parenting Consumer Brand / Community</x:v>
      </x:c>
      <x:c r="C148" s="10" t="str">
        <x:v>National</x:v>
      </x:c>
      <x:c r="D148" s="10" t="str">
        <x:v>Baby registry and parenting commerce platform.</x:v>
      </x:c>
      <x:c r="E148" s="10" t="str">
        <x:v>Company website</x:v>
      </x:c>
      <x:c r="F148" s="10" t="str">
        <x:v>https://poppylist.com/</x:v>
      </x:c>
      <x:c r="G148" s="16" t="str">
        <x:v>Seed candidate – verify current contact before outreach</x:v>
      </x:c>
      <x:c r="H148" s="43" t="n">
        <x:v>5</x:v>
      </x:c>
      <x:c r="I148" s="43" t="n">
        <x:v>2</x:v>
      </x:c>
      <x:c r="J148" s="43" t="n">
        <x:v>4</x:v>
      </x:c>
      <x:c r="K148" s="43" t="n">
        <x:v>3</x:v>
      </x:c>
      <x:c r="L148" s="43" t="n">
        <x:v>4</x:v>
      </x:c>
      <x:c r="M148" s="43" t="n">
        <x:v>5</x:v>
      </x:c>
      <x:c r="N148" s="44" t="n">
        <x:f>(H148*25%+I148*20%+J148*20%+K148*15%+L148*10%+M148*10%)*20</x:f>
        <x:v>76</x:v>
      </x:c>
      <x:c r="O148" s="10" t="str">
        <x:f>IF(N148&gt;=88,"High",IF(N148&gt;=78,"Medium","Long-term"))</x:f>
        <x:v>Long-term</x:v>
      </x:c>
      <x:c r="P148" s="10" t="str">
        <x:v>Analyst hypothesis based on audience timing, natural referral moment, strategic complementarity, likely decision complexity, trust, and potential user volume. Validate through discovery.</x:v>
      </x:c>
    </x:row>
    <x:row r="149" ht="34" customHeight="1">
      <x:c r="A149" s="15" t="str">
        <x:v>Expectful</x:v>
      </x:c>
      <x:c r="B149" s="10" t="str">
        <x:v>Parenting Consumer Brand / Community</x:v>
      </x:c>
      <x:c r="C149" s="10" t="str">
        <x:v>National / App</x:v>
      </x:c>
      <x:c r="D149" s="10" t="str">
        <x:v>Pregnancy and postpartum wellness/meditation platform.</x:v>
      </x:c>
      <x:c r="E149" s="10" t="str">
        <x:v>Company website</x:v>
      </x:c>
      <x:c r="F149" s="10" t="str">
        <x:v>https://expectful.com/</x:v>
      </x:c>
      <x:c r="G149" s="16" t="str">
        <x:v>Seed candidate – verify current contact before outreach</x:v>
      </x:c>
      <x:c r="H149" s="43" t="n">
        <x:v>5</x:v>
      </x:c>
      <x:c r="I149" s="43" t="n">
        <x:v>4</x:v>
      </x:c>
      <x:c r="J149" s="43" t="n">
        <x:v>5</x:v>
      </x:c>
      <x:c r="K149" s="43" t="n">
        <x:v>3</x:v>
      </x:c>
      <x:c r="L149" s="43" t="n">
        <x:v>4</x:v>
      </x:c>
      <x:c r="M149" s="43" t="n">
        <x:v>5</x:v>
      </x:c>
      <x:c r="N149" s="44" t="n">
        <x:f>(H149*25%+I149*20%+J149*20%+K149*15%+L149*10%+M149*10%)*20</x:f>
        <x:v>88</x:v>
      </x:c>
      <x:c r="O149" s="10" t="str">
        <x:f>IF(N149&gt;=88,"High",IF(N149&gt;=78,"Medium","Long-term"))</x:f>
        <x:v>High</x:v>
      </x:c>
      <x:c r="P149" s="10" t="str">
        <x:v>Analyst hypothesis based on audience timing, natural referral moment, strategic complementarity, likely decision complexity, trust, and potential user volume. Validate through discovery.</x:v>
      </x:c>
    </x:row>
    <x:row r="150" ht="34" customHeight="1">
      <x:c r="A150" s="15" t="str">
        <x:v>Preglife</x:v>
      </x:c>
      <x:c r="B150" s="10" t="str">
        <x:v>Parenting Consumer Brand / Community</x:v>
      </x:c>
      <x:c r="C150" s="10" t="str">
        <x:v>National / Global</x:v>
      </x:c>
      <x:c r="D150" s="10" t="str">
        <x:v>Pregnancy and parenting app.</x:v>
      </x:c>
      <x:c r="E150" s="10" t="str">
        <x:v>Company website</x:v>
      </x:c>
      <x:c r="F150" s="10" t="str">
        <x:v>https://preglife.com/</x:v>
      </x:c>
      <x:c r="G150" s="16" t="str">
        <x:v>Seed candidate – verify current contact before outreach</x:v>
      </x:c>
      <x:c r="H150" s="43" t="n">
        <x:v>5</x:v>
      </x:c>
      <x:c r="I150" s="43" t="n">
        <x:v>3</x:v>
      </x:c>
      <x:c r="J150" s="43" t="n">
        <x:v>4</x:v>
      </x:c>
      <x:c r="K150" s="43" t="n">
        <x:v>3</x:v>
      </x:c>
      <x:c r="L150" s="43" t="n">
        <x:v>4</x:v>
      </x:c>
      <x:c r="M150" s="43" t="n">
        <x:v>5</x:v>
      </x:c>
      <x:c r="N150" s="44" t="n">
        <x:f>(H150*25%+I150*20%+J150*20%+K150*15%+L150*10%+M150*10%)*20</x:f>
        <x:v>80</x:v>
      </x:c>
      <x:c r="O150" s="10" t="str">
        <x:f>IF(N150&gt;=88,"High",IF(N150&gt;=78,"Medium","Long-term"))</x:f>
        <x:v>Medium</x:v>
      </x:c>
      <x:c r="P150" s="10" t="str">
        <x:v>Analyst hypothesis based on audience timing, natural referral moment, strategic complementarity, likely decision complexity, trust, and potential user volume. Validate through discovery.</x:v>
      </x:c>
    </x:row>
    <x:row r="151" ht="34" customHeight="1">
      <x:c r="A151" s="17" t="str">
        <x:v>Good Inside</x:v>
      </x:c>
      <x:c r="B151" s="18" t="str">
        <x:v>Parenting Consumer Brand / Community</x:v>
      </x:c>
      <x:c r="C151" s="18" t="str">
        <x:v>National / App</x:v>
      </x:c>
      <x:c r="D151" s="18" t="str">
        <x:v>Parenting education and support platform.</x:v>
      </x:c>
      <x:c r="E151" s="18" t="str">
        <x:v>Company website</x:v>
      </x:c>
      <x:c r="F151" s="18" t="str">
        <x:v>https://www.goodinside.com/</x:v>
      </x:c>
      <x:c r="G151" s="19" t="str">
        <x:v>Seed candidate – verify current contact before outreach</x:v>
      </x:c>
      <x:c r="H151" s="43" t="n">
        <x:v>5</x:v>
      </x:c>
      <x:c r="I151" s="43" t="n">
        <x:v>2</x:v>
      </x:c>
      <x:c r="J151" s="43" t="n">
        <x:v>4</x:v>
      </x:c>
      <x:c r="K151" s="43" t="n">
        <x:v>3</x:v>
      </x:c>
      <x:c r="L151" s="43" t="n">
        <x:v>4</x:v>
      </x:c>
      <x:c r="M151" s="43" t="n">
        <x:v>5</x:v>
      </x:c>
      <x:c r="N151" s="44" t="n">
        <x:f>(H151*25%+I151*20%+J151*20%+K151*15%+L151*10%+M151*10%)*20</x:f>
        <x:v>76</x:v>
      </x:c>
      <x:c r="O151" s="10" t="str">
        <x:f>IF(N151&gt;=88,"High",IF(N151&gt;=78,"Medium","Long-term"))</x:f>
        <x:v>Long-term</x:v>
      </x:c>
      <x:c r="P151" s="10" t="str">
        <x:v>Analyst hypothesis based on audience timing, natural referral moment, strategic complementarity, likely decision complexity, trust, and potential user volume. Validate through discovery.</x:v>
      </x:c>
    </x:row>
  </x:sheetData>
  <x:conditionalFormatting sqref="N2:N151">
    <x:cfRule type="colorScale" priority="1">
      <x:colorScale>
        <x:cfvo type="min"/>
        <x:cfvo type="percentile" val="50"/>
        <x:cfvo type="max"/>
        <x:color rgb="FFF4CCCC"/>
        <x:color rgb="FFFFF2CC"/>
        <x:color rgb="FFD9EAD3"/>
      </x:colorScale>
    </x:cfRule>
  </x:conditionalFormatting>
  <x:conditionalFormatting sqref="O2:O151">
    <x:cfRule type="expression" dxfId="0" priority="2">
      <x:formula>O2="High"</x:formula>
    </x:cfRule>
    <x:cfRule type="expression" dxfId="1" priority="3">
      <x:formula>O2="Medium"</x:formula>
    </x:cfRule>
    <x:cfRule type="expression" dxfId="2" priority="4">
      <x:formula>O2="Long-term"</x:formula>
    </x:cfRule>
  </x:conditionalFormatting>
  <x:pageMargins left="0.7" right="0.7" top="0.75" bottom="0.75" header="0.3" footer="0.3"/>
  <x:tableParts count="1">
    <x:tablePart xmlns:r="http://schemas.openxmlformats.org/officeDocument/2006/relationships" r:id="R4604918284be49ec"/>
  </x:tableParts>
</x:worksheet>
</file>

<file path=xl/worksheets/sheet2.xml><?xml version="1.0" encoding="utf-8"?>
<x:worksheet xmlns:x="http://schemas.openxmlformats.org/spreadsheetml/2006/main">
  <x:sheetFormatPr defaultRowHeight="15"/>
  <x:cols>
    <x:col min="1" max="1" width="34" hidden="0" customWidth="1"/>
    <x:col min="2" max="2" width="12" hidden="0" customWidth="1"/>
    <x:col min="3" max="3" width="60" hidden="0" customWidth="1"/>
    <x:col min="5" max="5" width="34" hidden="0" customWidth="1"/>
    <x:col min="6" max="6" width="12" hidden="0" customWidth="1"/>
    <x:col min="7" max="7" width="18" hidden="0" customWidth="1"/>
    <x:col min="8" max="8" width="18" hidden="0" customWidth="1"/>
  </x:cols>
  <x:sheetData>
    <x:row r="1">
      <x:c r="A1" s="28" t="str">
        <x:v>Category</x:v>
      </x:c>
      <x:c r="B1" s="28" t="str">
        <x:v>Count</x:v>
      </x:c>
      <x:c r="C1" s="28" t="str">
        <x:v>Purpose</x:v>
      </x:c>
      <x:c r="E1" s="38" t="str">
        <x:v>Prioritization Logic</x:v>
      </x:c>
      <x:c r="F1" s="38"/>
      <x:c r="G1" s="38"/>
      <x:c r="H1" s="38"/>
    </x:row>
    <x:row r="2">
      <x:c r="A2" s="10" t="str">
        <x:v>OB-GYN / Women's Health Practice</x:v>
      </x:c>
      <x:c r="B2" s="10" t="n">
        <x:v>30</x:v>
      </x:c>
      <x:c r="C2" s="10" t="str">
        <x:v>Direct clinical referral partners</x:v>
      </x:c>
      <x:c r="E2" s="50" t="str">
        <x:v>Scores are analyst judgments, not published facts. Each partner is rated 1–5 on Audience Overlap (25%), Referral Potential (20%), Strategic Fit (20%), Ease of Activation (15%), Trust (10%), and Expected Acquisition Impact (10%). The model is designed to prioritize partners that combine strong user relevance with a realistic path to activation.</x:v>
      </x:c>
      <x:c r="F2" s="50"/>
      <x:c r="G2" s="50"/>
      <x:c r="H2" s="50"/>
    </x:row>
    <x:row r="3">
      <x:c r="A3" s="10" t="str">
        <x:v>Fertility Clinic / Network</x:v>
      </x:c>
      <x:c r="B3" s="10" t="n">
        <x:v>20</x:v>
      </x:c>
      <x:c r="C3" s="10" t="str">
        <x:v>TTC / fertility audience; earlier-stage family journey</x:v>
      </x:c>
      <x:c r="E3" s="50"/>
      <x:c r="F3" s="50"/>
      <x:c r="G3" s="50"/>
      <x:c r="H3" s="50"/>
    </x:row>
    <x:row r="4">
      <x:c r="A4" s="10" t="str">
        <x:v>Doula / Doula Network</x:v>
      </x:c>
      <x:c r="B4" s="10" t="n">
        <x:v>20</x:v>
      </x:c>
      <x:c r="C4" s="10" t="str">
        <x:v>Trusted birth/postpartum referral partners</x:v>
      </x:c>
      <x:c r="E4" s="50"/>
      <x:c r="F4" s="50"/>
      <x:c r="G4" s="50"/>
      <x:c r="H4" s="50"/>
    </x:row>
    <x:row r="5">
      <x:c r="A5" s="10" t="str">
        <x:v>Lactation Consultant / Network</x:v>
      </x:c>
      <x:c r="B5" s="10" t="n">
        <x:v>20</x:v>
      </x:c>
      <x:c r="C5" s="10" t="str">
        <x:v>High-intent postpartum and breastfeeding audience</x:v>
      </x:c>
      <x:c r="E5" s="50"/>
      <x:c r="F5" s="50"/>
      <x:c r="G5" s="50"/>
      <x:c r="H5" s="50"/>
    </x:row>
    <x:row r="6">
      <x:c r="A6" s="10" t="str">
        <x:v>Pelvic-Floor / Postpartum PT</x:v>
      </x:c>
      <x:c r="B6" s="10" t="n">
        <x:v>20</x:v>
      </x:c>
      <x:c r="C6" s="10" t="str">
        <x:v>High-intent pregnancy/postpartum recovery audience</x:v>
      </x:c>
      <x:c r="E6" s="50"/>
      <x:c r="F6" s="50"/>
      <x:c r="G6" s="50"/>
      <x:c r="H6" s="50"/>
    </x:row>
    <x:row r="7">
      <x:c r="A7" s="10" t="str">
        <x:v>Employer / Benefits Platform</x:v>
      </x:c>
      <x:c r="B7" s="10" t="n">
        <x:v>20</x:v>
      </x:c>
      <x:c r="C7" s="10" t="str">
        <x:v>B2B2C distribution and employee-benefit channels</x:v>
      </x:c>
      <x:c r="E7" s="50"/>
      <x:c r="F7" s="50"/>
      <x:c r="G7" s="50"/>
      <x:c r="H7" s="50"/>
    </x:row>
    <x:row r="8">
      <x:c r="A8" s="10" t="str">
        <x:v>Parenting Consumer Brand / Community</x:v>
      </x:c>
      <x:c r="B8" s="10" t="n">
        <x:v>20</x:v>
      </x:c>
      <x:c r="C8" s="10" t="str">
        <x:v>Co-marketing, content, community, and distribution</x:v>
      </x:c>
    </x:row>
    <x:row r="9">
      <x:c r="A9" s="10" t="str">
        <x:v>TOTAL</x:v>
      </x:c>
      <x:c r="B9" s="10" t="n">
        <x:v>150</x:v>
      </x:c>
      <x:c r="C9" s="10" t="str">
        <x:v>Resume claim support</x:v>
      </x:c>
    </x:row>
    <x:row r="10">
      <x:c r="E10" s="46" t="str">
        <x:v>Top-25 Category</x:v>
      </x:c>
      <x:c r="F10" s="46" t="str">
        <x:v>Count</x:v>
      </x:c>
    </x:row>
    <x:row r="11">
      <x:c r="E11" t="str">
        <x:v>Lactation Consultant / Network</x:v>
      </x:c>
      <x:c r="F11" t="n">
        <x:v>7</x:v>
      </x:c>
    </x:row>
    <x:row r="12">
      <x:c r="E12" t="str">
        <x:v>OB-GYN / Women's Health Practice</x:v>
      </x:c>
      <x:c r="F12" t="n">
        <x:v>10</x:v>
      </x:c>
    </x:row>
    <x:row r="13">
      <x:c r="E13" t="str">
        <x:v>Pelvic-Floor / Postpartum PT</x:v>
      </x:c>
      <x:c r="F13" t="n">
        <x:v>8</x:v>
      </x:c>
    </x:row>
  </x:sheetData>
  <x:mergeCells>
    <x:mergeCell ref="E1:H1"/>
    <x:mergeCell ref="E2:H7"/>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12" hidden="0" customWidth="1"/>
    <x:col min="3" max="3" width="52" hidden="0" customWidth="1"/>
    <x:col min="4" max="4" width="52" hidden="0" customWidth="1"/>
  </x:cols>
  <x:sheetData>
    <x:row r="1">
      <x:c r="A1" s="28" t="str">
        <x:v>Criterion</x:v>
      </x:c>
      <x:c r="B1" s="28" t="str">
        <x:v>Weight</x:v>
      </x:c>
      <x:c r="C1" s="28" t="str">
        <x:v>What a 5 Means</x:v>
      </x:c>
      <x:c r="D1" s="28" t="str">
        <x:v>What a 1 Means</x:v>
      </x:c>
    </x:row>
    <x:row r="2">
      <x:c r="A2" s="10" t="str">
        <x:v>Audience overlap</x:v>
      </x:c>
      <x:c r="B2" s="32" t="n">
        <x:v>0.25</x:v>
      </x:c>
      <x:c r="C2" s="10" t="str">
        <x:v>Partner serves almost exactly our target users</x:v>
      </x:c>
      <x:c r="D2" s="10" t="str">
        <x:v>Little overlap with pregnancy/postpartum users</x:v>
      </x:c>
    </x:row>
    <x:row r="3">
      <x:c r="A3" s="10" t="str">
        <x:v>Referral potential</x:v>
      </x:c>
      <x:c r="B3" s="32" t="n">
        <x:v>0.2</x:v>
      </x:c>
      <x:c r="C3" s="10" t="str">
        <x:v>Natural, frequent opportunity to refer users</x:v>
      </x:c>
      <x:c r="D3" s="10" t="str">
        <x:v>Rare/no natural referral moment</x:v>
      </x:c>
    </x:row>
    <x:row r="4">
      <x:c r="A4" s="10" t="str">
        <x:v>Strategic fit</x:v>
      </x:c>
      <x:c r="B4" s="32" t="n">
        <x:v>0.2</x:v>
      </x:c>
      <x:c r="C4" s="10" t="str">
        <x:v>Partnership clearly complements both sides</x:v>
      </x:c>
      <x:c r="D4" s="10" t="str">
        <x:v>Weak connection to partner’s core offering</x:v>
      </x:c>
    </x:row>
    <x:row r="5">
      <x:c r="A5" s="10" t="str">
        <x:v>Ease of activation</x:v>
      </x:c>
      <x:c r="B5" s="32" t="n">
        <x:v>0.15</x:v>
      </x:c>
      <x:c r="C5" s="10" t="str">
        <x:v>Simple decision process and lightweight pilot</x:v>
      </x:c>
      <x:c r="D5" s="10" t="str">
        <x:v>Long procurement / difficult implementation</x:v>
      </x:c>
    </x:row>
    <x:row r="6">
      <x:c r="A6" s="10" t="str">
        <x:v>Trust</x:v>
      </x:c>
      <x:c r="B6" s="32" t="n">
        <x:v>0.1</x:v>
      </x:c>
      <x:c r="C6" s="10" t="str">
        <x:v>Users strongly trust partner for maternal-health decisions</x:v>
      </x:c>
      <x:c r="D6" s="10" t="str">
        <x:v>Low relevance/trust in health decisions</x:v>
      </x:c>
    </x:row>
    <x:row r="7">
      <x:c r="A7" s="10" t="str">
        <x:v>Expected acquisition impact</x:v>
      </x:c>
      <x:c r="B7" s="32" t="n">
        <x:v>0.1</x:v>
      </x:c>
      <x:c r="C7" s="10" t="str">
        <x:v>Could drive meaningful user volume</x:v>
      </x:c>
      <x:c r="D7" s="10" t="str">
        <x:v>Likely very limited volume</x:v>
      </x:c>
    </x:row>
    <x:row r="9">
      <x:c r="A9" s="34" t="str">
        <x:v>Important: company/category/geography fields are sourced research. Scores are analyst judgments, not published facts. Before outreach, re-open the source URL and verify the organization, current geography, and the correct partnership/contact person.</x:v>
      </x:c>
    </x:row>
  </x:sheetData>
  <x:mergeCells>
    <x:mergeCell ref="A9:D11"/>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30" hidden="0" customWidth="1"/>
    <x:col min="4" max="4" width="20" hidden="0" customWidth="1"/>
    <x:col min="5" max="5" width="12" hidden="0" customWidth="1"/>
    <x:col min="6" max="6" width="12" hidden="0" customWidth="1"/>
    <x:col min="7" max="7" width="52" hidden="0" customWidth="1"/>
    <x:col min="8" max="8" width="48" hidden="0" customWidth="1"/>
  </x:cols>
  <x:sheetData>
    <x:row r="1">
      <x:c r="A1" s="49" t="str">
        <x:v>Rank</x:v>
      </x:c>
      <x:c r="B1" s="49" t="str">
        <x:v>Partner</x:v>
      </x:c>
      <x:c r="C1" s="49" t="str">
        <x:v>Category</x:v>
      </x:c>
      <x:c r="D1" s="49" t="str">
        <x:v>Geography</x:v>
      </x:c>
      <x:c r="E1" s="49" t="str">
        <x:v>Score</x:v>
      </x:c>
      <x:c r="F1" s="49" t="str">
        <x:v>Tier</x:v>
      </x:c>
      <x:c r="G1" s="49" t="str">
        <x:v>Why It Ranks Highly</x:v>
      </x:c>
      <x:c r="H1" s="49" t="str">
        <x:v>Source URL</x:v>
      </x:c>
    </x:row>
    <x:row r="2">
      <x:c r="A2" s="10" t="n">
        <x:v>1</x:v>
      </x:c>
      <x:c r="B2" s="10" t="str">
        <x:v>Aeroflow Breastpumps</x:v>
      </x:c>
      <x:c r="C2" s="10" t="str">
        <x:v>Lactation Consultant / Network</x:v>
      </x:c>
      <x:c r="D2" s="10" t="str">
        <x:v>National</x:v>
      </x:c>
      <x:c r="E2" s="44" t="n">
        <x:v>95</x:v>
      </x:c>
      <x:c r="F2" s="10" t="str">
        <x:v>High</x:v>
      </x:c>
      <x:c r="G2" s="10" t="str">
        <x:v>Direct audience overlap, strong referral moment, high-trust context.</x:v>
      </x:c>
      <x:c r="H2" s="10" t="str">
        <x:v>https://aeroflowbreastpumps.com/</x:v>
      </x:c>
    </x:row>
    <x:row r="3">
      <x:c r="A3" s="10" t="n">
        <x:v>2</x:v>
      </x:c>
      <x:c r="B3" s="10" t="str">
        <x:v>Nest Collaborative</x:v>
      </x:c>
      <x:c r="C3" s="10" t="str">
        <x:v>Lactation Consultant / Network</x:v>
      </x:c>
      <x:c r="D3" s="10" t="str">
        <x:v>National / Virtual</x:v>
      </x:c>
      <x:c r="E3" s="44" t="n">
        <x:v>95</x:v>
      </x:c>
      <x:c r="F3" s="10" t="str">
        <x:v>High</x:v>
      </x:c>
      <x:c r="G3" s="10" t="str">
        <x:v>Direct audience overlap, strong referral moment, high-trust context.</x:v>
      </x:c>
      <x:c r="H3" s="10" t="str">
        <x:v>https://nestcollaborative.com/</x:v>
      </x:c>
    </x:row>
    <x:row r="4">
      <x:c r="A4" s="10" t="n">
        <x:v>3</x:v>
      </x:c>
      <x:c r="B4" s="10" t="str">
        <x:v>Pacify</x:v>
      </x:c>
      <x:c r="C4" s="10" t="str">
        <x:v>Lactation Consultant / Network</x:v>
      </x:c>
      <x:c r="D4" s="10" t="str">
        <x:v>National / Virtual</x:v>
      </x:c>
      <x:c r="E4" s="44" t="n">
        <x:v>95</x:v>
      </x:c>
      <x:c r="F4" s="10" t="str">
        <x:v>High</x:v>
      </x:c>
      <x:c r="G4" s="10" t="str">
        <x:v>Direct audience overlap, strong referral moment, high-trust context.</x:v>
      </x:c>
      <x:c r="H4" s="10" t="str">
        <x:v>https://www.pacify.com/</x:v>
      </x:c>
    </x:row>
    <x:row r="5">
      <x:c r="A5" s="10" t="n">
        <x:v>4</x:v>
      </x:c>
      <x:c r="B5" s="10" t="str">
        <x:v>SimpliFed</x:v>
      </x:c>
      <x:c r="C5" s="10" t="str">
        <x:v>Lactation Consultant / Network</x:v>
      </x:c>
      <x:c r="D5" s="10" t="str">
        <x:v>National / Virtual</x:v>
      </x:c>
      <x:c r="E5" s="44" t="n">
        <x:v>95</x:v>
      </x:c>
      <x:c r="F5" s="10" t="str">
        <x:v>High</x:v>
      </x:c>
      <x:c r="G5" s="10" t="str">
        <x:v>Direct audience overlap, strong referral moment, high-trust context.</x:v>
      </x:c>
      <x:c r="H5" s="10" t="str">
        <x:v>https://www.simplifed.com/</x:v>
      </x:c>
    </x:row>
    <x:row r="6">
      <x:c r="A6" s="10" t="n">
        <x:v>5</x:v>
      </x:c>
      <x:c r="B6" s="10" t="str">
        <x:v>Diana Health</x:v>
      </x:c>
      <x:c r="C6" s="10" t="str">
        <x:v>OB-GYN / Women's Health Practice</x:v>
      </x:c>
      <x:c r="D6" s="10" t="str">
        <x:v>Multiple U.S. markets</x:v>
      </x:c>
      <x:c r="E6" s="44" t="n">
        <x:v>95</x:v>
      </x:c>
      <x:c r="F6" s="10" t="str">
        <x:v>High</x:v>
      </x:c>
      <x:c r="G6" s="10" t="str">
        <x:v>Direct audience overlap, strong referral moment, high-trust context.</x:v>
      </x:c>
      <x:c r="H6" s="10" t="str">
        <x:v>https://www.heydianahealth.com/</x:v>
      </x:c>
    </x:row>
    <x:row r="7">
      <x:c r="A7" s="10" t="n">
        <x:v>6</x:v>
      </x:c>
      <x:c r="B7" s="10" t="str">
        <x:v>Oula</x:v>
      </x:c>
      <x:c r="C7" s="10" t="str">
        <x:v>OB-GYN / Women's Health Practice</x:v>
      </x:c>
      <x:c r="D7" s="10" t="str">
        <x:v>New York, NY</x:v>
      </x:c>
      <x:c r="E7" s="44" t="n">
        <x:v>95</x:v>
      </x:c>
      <x:c r="F7" s="10" t="str">
        <x:v>High</x:v>
      </x:c>
      <x:c r="G7" s="10" t="str">
        <x:v>Direct audience overlap, strong referral moment, high-trust context.</x:v>
      </x:c>
      <x:c r="H7" s="10" t="str">
        <x:v>https://oulahealth.com/</x:v>
      </x:c>
    </x:row>
    <x:row r="8">
      <x:c r="A8" s="10" t="n">
        <x:v>7</x:v>
      </x:c>
      <x:c r="B8" s="10" t="str">
        <x:v>Origin Physical Therapy</x:v>
      </x:c>
      <x:c r="C8" s="10" t="str">
        <x:v>Pelvic-Floor / Postpartum PT</x:v>
      </x:c>
      <x:c r="D8" s="10" t="str">
        <x:v>Multi-state / Virtual</x:v>
      </x:c>
      <x:c r="E8" s="44" t="n">
        <x:v>95</x:v>
      </x:c>
      <x:c r="F8" s="10" t="str">
        <x:v>High</x:v>
      </x:c>
      <x:c r="G8" s="10" t="str">
        <x:v>Direct audience overlap, strong referral moment, high-trust context.</x:v>
      </x:c>
      <x:c r="H8" s="10" t="str">
        <x:v>https://www.theoriginway.com/</x:v>
      </x:c>
    </x:row>
    <x:row r="9">
      <x:c r="A9" s="10" t="n">
        <x:v>8</x:v>
      </x:c>
      <x:c r="B9" s="10" t="str">
        <x:v>La Leche League USA</x:v>
      </x:c>
      <x:c r="C9" s="10" t="str">
        <x:v>Lactation Consultant / Network</x:v>
      </x:c>
      <x:c r="D9" s="10" t="str">
        <x:v>National</x:v>
      </x:c>
      <x:c r="E9" s="44" t="n">
        <x:v>94</x:v>
      </x:c>
      <x:c r="F9" s="10" t="str">
        <x:v>High</x:v>
      </x:c>
      <x:c r="G9" s="10" t="str">
        <x:v>Direct audience overlap, strong referral moment, high scale potential.</x:v>
      </x:c>
      <x:c r="H9" s="10" t="str">
        <x:v>https://lllusa.org/</x:v>
      </x:c>
    </x:row>
    <x:row r="10">
      <x:c r="A10" s="10" t="n">
        <x:v>9</x:v>
      </x:c>
      <x:c r="B10" s="10" t="str">
        <x:v>The Lactation Network</x:v>
      </x:c>
      <x:c r="C10" s="10" t="str">
        <x:v>Lactation Consultant / Network</x:v>
      </x:c>
      <x:c r="D10" s="10" t="str">
        <x:v>National</x:v>
      </x:c>
      <x:c r="E10" s="44" t="n">
        <x:v>94</x:v>
      </x:c>
      <x:c r="F10" s="10" t="str">
        <x:v>High</x:v>
      </x:c>
      <x:c r="G10" s="10" t="str">
        <x:v>Direct audience overlap, strong referral moment, high scale potential.</x:v>
      </x:c>
      <x:c r="H10" s="10" t="str">
        <x:v>https://lactationnetwork.com/</x:v>
      </x:c>
    </x:row>
    <x:row r="11">
      <x:c r="A11" s="10" t="n">
        <x:v>10</x:v>
      </x:c>
      <x:c r="B11" s="10" t="str">
        <x:v>Motherhood Center of New York</x:v>
      </x:c>
      <x:c r="C11" s="10" t="str">
        <x:v>Lactation Consultant / Network</x:v>
      </x:c>
      <x:c r="D11" s="10" t="str">
        <x:v>New York, NY</x:v>
      </x:c>
      <x:c r="E11" s="44" t="n">
        <x:v>92</x:v>
      </x:c>
      <x:c r="F11" s="10" t="str">
        <x:v>High</x:v>
      </x:c>
      <x:c r="G11" s="10" t="str">
        <x:v>Direct audience overlap, easy pilot path, high-trust context.</x:v>
      </x:c>
      <x:c r="H11" s="10" t="str">
        <x:v>https://themotherhoodcenter.com/</x:v>
      </x:c>
    </x:row>
    <x:row r="12">
      <x:c r="A12" s="10" t="n">
        <x:v>11</x:v>
      </x:c>
      <x:c r="B12" s="10" t="str">
        <x:v>Axia Women's Health</x:v>
      </x:c>
      <x:c r="C12" s="10" t="str">
        <x:v>OB-GYN / Women's Health Practice</x:v>
      </x:c>
      <x:c r="D12" s="10" t="str">
        <x:v>Northeast / Mid-Atlantic</x:v>
      </x:c>
      <x:c r="E12" s="44" t="n">
        <x:v>92</x:v>
      </x:c>
      <x:c r="F12" s="10" t="str">
        <x:v>High</x:v>
      </x:c>
      <x:c r="G12" s="10" t="str">
        <x:v>Direct audience overlap, strong referral moment, high-trust context.</x:v>
      </x:c>
      <x:c r="H12" s="10" t="str">
        <x:v>https://axiawh.com/</x:v>
      </x:c>
    </x:row>
    <x:row r="13">
      <x:c r="A13" s="10" t="n">
        <x:v>12</x:v>
      </x:c>
      <x:c r="B13" s="10" t="str">
        <x:v>Capital Women's Care</x:v>
      </x:c>
      <x:c r="C13" s="10" t="str">
        <x:v>OB-GYN / Women's Health Practice</x:v>
      </x:c>
      <x:c r="D13" s="10" t="str">
        <x:v>DC/MD/VA</x:v>
      </x:c>
      <x:c r="E13" s="44" t="n">
        <x:v>92</x:v>
      </x:c>
      <x:c r="F13" s="10" t="str">
        <x:v>High</x:v>
      </x:c>
      <x:c r="G13" s="10" t="str">
        <x:v>Direct audience overlap, strong referral moment, high-trust context.</x:v>
      </x:c>
      <x:c r="H13" s="10" t="str">
        <x:v>https://www.cwcare.net/</x:v>
      </x:c>
    </x:row>
    <x:row r="14">
      <x:c r="A14" s="10" t="n">
        <x:v>13</x:v>
      </x:c>
      <x:c r="B14" s="10" t="str">
        <x:v>Lifeline Medical Associates</x:v>
      </x:c>
      <x:c r="C14" s="10" t="str">
        <x:v>OB-GYN / Women's Health Practice</x:v>
      </x:c>
      <x:c r="D14" s="10" t="str">
        <x:v>New Jersey</x:v>
      </x:c>
      <x:c r="E14" s="44" t="n">
        <x:v>92</x:v>
      </x:c>
      <x:c r="F14" s="10" t="str">
        <x:v>High</x:v>
      </x:c>
      <x:c r="G14" s="10" t="str">
        <x:v>Direct audience overlap, strong referral moment, high-trust context.</x:v>
      </x:c>
      <x:c r="H14" s="10" t="str">
        <x:v>https://www.lma-llc.com/</x:v>
      </x:c>
    </x:row>
    <x:row r="15">
      <x:c r="A15" s="10" t="n">
        <x:v>14</x:v>
      </x:c>
      <x:c r="B15" s="10" t="str">
        <x:v>Unified Women's Healthcare</x:v>
      </x:c>
      <x:c r="C15" s="10" t="str">
        <x:v>OB-GYN / Women's Health Practice</x:v>
      </x:c>
      <x:c r="D15" s="10" t="str">
        <x:v>National</x:v>
      </x:c>
      <x:c r="E15" s="44" t="n">
        <x:v>92</x:v>
      </x:c>
      <x:c r="F15" s="10" t="str">
        <x:v>High</x:v>
      </x:c>
      <x:c r="G15" s="10" t="str">
        <x:v>Direct audience overlap, strong referral moment, high-trust context.</x:v>
      </x:c>
      <x:c r="H15" s="10" t="str">
        <x:v>https://www.unifiedwomenshealthcare.com/</x:v>
      </x:c>
    </x:row>
    <x:row r="16">
      <x:c r="A16" s="10" t="n">
        <x:v>15</x:v>
      </x:c>
      <x:c r="B16" s="10" t="str">
        <x:v>Women's Care</x:v>
      </x:c>
      <x:c r="C16" s="10" t="str">
        <x:v>OB-GYN / Women's Health Practice</x:v>
      </x:c>
      <x:c r="D16" s="10" t="str">
        <x:v>Florida</x:v>
      </x:c>
      <x:c r="E16" s="44" t="n">
        <x:v>92</x:v>
      </x:c>
      <x:c r="F16" s="10" t="str">
        <x:v>High</x:v>
      </x:c>
      <x:c r="G16" s="10" t="str">
        <x:v>Direct audience overlap, strong referral moment, high-trust context.</x:v>
      </x:c>
      <x:c r="H16" s="10" t="str">
        <x:v>https://www.womenscareobgyn.com/</x:v>
      </x:c>
    </x:row>
    <x:row r="17">
      <x:c r="A17" s="10" t="n">
        <x:v>16</x:v>
      </x:c>
      <x:c r="B17" s="10" t="str">
        <x:v>Women's Health Connecticut</x:v>
      </x:c>
      <x:c r="C17" s="10" t="str">
        <x:v>OB-GYN / Women's Health Practice</x:v>
      </x:c>
      <x:c r="D17" s="10" t="str">
        <x:v>Connecticut</x:v>
      </x:c>
      <x:c r="E17" s="44" t="n">
        <x:v>92</x:v>
      </x:c>
      <x:c r="F17" s="10" t="str">
        <x:v>High</x:v>
      </x:c>
      <x:c r="G17" s="10" t="str">
        <x:v>Direct audience overlap, strong referral moment, high-trust context.</x:v>
      </x:c>
      <x:c r="H17" s="10" t="str">
        <x:v>https://womenshealthct.com/</x:v>
      </x:c>
    </x:row>
    <x:row r="18">
      <x:c r="A18" s="10" t="n">
        <x:v>17</x:v>
      </x:c>
      <x:c r="B18" s="10" t="str">
        <x:v>FemFirstHealth</x:v>
      </x:c>
      <x:c r="C18" s="10" t="str">
        <x:v>Pelvic-Floor / Postpartum PT</x:v>
      </x:c>
      <x:c r="D18" s="10" t="str">
        <x:v>New York, NY</x:v>
      </x:c>
      <x:c r="E18" s="44" t="n">
        <x:v>92</x:v>
      </x:c>
      <x:c r="F18" s="10" t="str">
        <x:v>High</x:v>
      </x:c>
      <x:c r="G18" s="10" t="str">
        <x:v>Direct audience overlap, easy pilot path, high-trust context.</x:v>
      </x:c>
      <x:c r="H18" s="10" t="str">
        <x:v>https://www.femfirsthealth.com/</x:v>
      </x:c>
    </x:row>
    <x:row r="19">
      <x:c r="A19" s="10" t="n">
        <x:v>18</x:v>
      </x:c>
      <x:c r="B19" s="10" t="str">
        <x:v>Foundational Concepts</x:v>
      </x:c>
      <x:c r="C19" s="10" t="str">
        <x:v>Pelvic-Floor / Postpartum PT</x:v>
      </x:c>
      <x:c r="D19" s="10" t="str">
        <x:v>Kansas City, MO</x:v>
      </x:c>
      <x:c r="E19" s="44" t="n">
        <x:v>92</x:v>
      </x:c>
      <x:c r="F19" s="10" t="str">
        <x:v>High</x:v>
      </x:c>
      <x:c r="G19" s="10" t="str">
        <x:v>Direct audience overlap, easy pilot path, high-trust context.</x:v>
      </x:c>
      <x:c r="H19" s="10" t="str">
        <x:v>https://www.foundationalconcepts.com/</x:v>
      </x:c>
    </x:row>
    <x:row r="20">
      <x:c r="A20" s="10" t="n">
        <x:v>19</x:v>
      </x:c>
      <x:c r="B20" s="10" t="str">
        <x:v>Lady Bird Physical Therapy</x:v>
      </x:c>
      <x:c r="C20" s="10" t="str">
        <x:v>Pelvic-Floor / Postpartum PT</x:v>
      </x:c>
      <x:c r="D20" s="10" t="str">
        <x:v>Austin, TX</x:v>
      </x:c>
      <x:c r="E20" s="44" t="n">
        <x:v>92</x:v>
      </x:c>
      <x:c r="F20" s="10" t="str">
        <x:v>High</x:v>
      </x:c>
      <x:c r="G20" s="10" t="str">
        <x:v>Direct audience overlap, easy pilot path, high-trust context.</x:v>
      </x:c>
      <x:c r="H20" s="10" t="str">
        <x:v>https://www.ladybirdpt.com/</x:v>
      </x:c>
    </x:row>
    <x:row r="21">
      <x:c r="A21" s="10" t="n">
        <x:v>20</x:v>
      </x:c>
      <x:c r="B21" s="10" t="str">
        <x:v>PelvicSanity</x:v>
      </x:c>
      <x:c r="C21" s="10" t="str">
        <x:v>Pelvic-Floor / Postpartum PT</x:v>
      </x:c>
      <x:c r="D21" s="10" t="str">
        <x:v>Laguna Hills, CA</x:v>
      </x:c>
      <x:c r="E21" s="44" t="n">
        <x:v>92</x:v>
      </x:c>
      <x:c r="F21" s="10" t="str">
        <x:v>High</x:v>
      </x:c>
      <x:c r="G21" s="10" t="str">
        <x:v>Direct audience overlap, easy pilot path, high-trust context.</x:v>
      </x:c>
      <x:c r="H21" s="10" t="str">
        <x:v>https://www.pelvicsanity.com/</x:v>
      </x:c>
    </x:row>
    <x:row r="22">
      <x:c r="A22" s="10" t="n">
        <x:v>21</x:v>
      </x:c>
      <x:c r="B22" s="10" t="str">
        <x:v>Renew Physical Therapy</x:v>
      </x:c>
      <x:c r="C22" s="10" t="str">
        <x:v>Pelvic-Floor / Postpartum PT</x:v>
      </x:c>
      <x:c r="D22" s="10" t="str">
        <x:v>New York, NY</x:v>
      </x:c>
      <x:c r="E22" s="44" t="n">
        <x:v>92</x:v>
      </x:c>
      <x:c r="F22" s="10" t="str">
        <x:v>High</x:v>
      </x:c>
      <x:c r="G22" s="10" t="str">
        <x:v>Direct audience overlap, easy pilot path, high-trust context.</x:v>
      </x:c>
      <x:c r="H22" s="10" t="str">
        <x:v>https://renewpt.com/</x:v>
      </x:c>
    </x:row>
    <x:row r="23">
      <x:c r="A23" s="10" t="n">
        <x:v>22</x:v>
      </x:c>
      <x:c r="B23" s="10" t="str">
        <x:v>Solstice Physiotherapy</x:v>
      </x:c>
      <x:c r="C23" s="10" t="str">
        <x:v>Pelvic-Floor / Postpartum PT</x:v>
      </x:c>
      <x:c r="D23" s="10" t="str">
        <x:v>New York, NY</x:v>
      </x:c>
      <x:c r="E23" s="44" t="n">
        <x:v>92</x:v>
      </x:c>
      <x:c r="F23" s="10" t="str">
        <x:v>High</x:v>
      </x:c>
      <x:c r="G23" s="10" t="str">
        <x:v>Direct audience overlap, easy pilot path, high-trust context.</x:v>
      </x:c>
      <x:c r="H23" s="10" t="str">
        <x:v>https://solsticept.com/</x:v>
      </x:c>
    </x:row>
    <x:row r="24">
      <x:c r="A24" s="10" t="n">
        <x:v>23</x:v>
      </x:c>
      <x:c r="B24" s="10" t="str">
        <x:v>Sullivan Physical Therapy</x:v>
      </x:c>
      <x:c r="C24" s="10" t="str">
        <x:v>Pelvic-Floor / Postpartum PT</x:v>
      </x:c>
      <x:c r="D24" s="10" t="str">
        <x:v>Austin, TX</x:v>
      </x:c>
      <x:c r="E24" s="44" t="n">
        <x:v>92</x:v>
      </x:c>
      <x:c r="F24" s="10" t="str">
        <x:v>High</x:v>
      </x:c>
      <x:c r="G24" s="10" t="str">
        <x:v>Direct audience overlap, easy pilot path, high-trust context.</x:v>
      </x:c>
      <x:c r="H24" s="10" t="str">
        <x:v>https://www.sullivanphysicaltherapy.com/</x:v>
      </x:c>
    </x:row>
    <x:row r="25">
      <x:c r="A25" s="10" t="n">
        <x:v>24</x:v>
      </x:c>
      <x:c r="B25" s="10" t="str">
        <x:v>Atrium Health Women's Care</x:v>
      </x:c>
      <x:c r="C25" s="10" t="str">
        <x:v>OB-GYN / Women's Health Practice</x:v>
      </x:c>
      <x:c r="D25" s="10" t="str">
        <x:v>Carolinas</x:v>
      </x:c>
      <x:c r="E25" s="44" t="n">
        <x:v>91</x:v>
      </x:c>
      <x:c r="F25" s="10" t="str">
        <x:v>High</x:v>
      </x:c>
      <x:c r="G25" s="10" t="str">
        <x:v>Direct audience overlap, strong referral moment, high scale potential.</x:v>
      </x:c>
      <x:c r="H25" s="10" t="str">
        <x:v>https://atriumhealth.org/medical-services/specialty-care/womens-care</x:v>
      </x:c>
    </x:row>
    <x:row r="26">
      <x:c r="A26" s="10" t="n">
        <x:v>25</x:v>
      </x:c>
      <x:c r="B26" s="10" t="str">
        <x:v>Baylor Scott &amp; White Women's Health</x:v>
      </x:c>
      <x:c r="C26" s="10" t="str">
        <x:v>OB-GYN / Women's Health Practice</x:v>
      </x:c>
      <x:c r="D26" s="10" t="str">
        <x:v>Texas</x:v>
      </x:c>
      <x:c r="E26" s="44" t="n">
        <x:v>91</x:v>
      </x:c>
      <x:c r="F26" s="10" t="str">
        <x:v>High</x:v>
      </x:c>
      <x:c r="G26" s="10" t="str">
        <x:v>Direct audience overlap, strong referral moment, high scale potential.</x:v>
      </x:c>
      <x:c r="H26" s="10" t="str">
        <x:v>https://www.bswhealth.com/specialties/womens-health</x:v>
      </x:c>
    </x:row>
  </x:sheetData>
  <x:conditionalFormatting sqref="E2:E26">
    <x:cfRule type="colorScale" priority="1">
      <x:colorScale>
        <x:cfvo type="min"/>
        <x:cfvo type="percentile" val="50"/>
        <x:cfvo type="max"/>
        <x:color rgb="FFFFF2CC"/>
        <x:color rgb="FFD9EAD3"/>
        <x:color rgb="FFB6D7A8"/>
      </x:colorScale>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38" hidden="0" customWidth="1"/>
    <x:col min="3" max="3" width="48" hidden="0" customWidth="1"/>
    <x:col min="4" max="4" width="32" hidden="0" customWidth="1"/>
    <x:col min="5" max="5" width="58" hidden="0" customWidth="1"/>
    <x:col min="6" max="6" width="26" hidden="0" customWidth="1"/>
    <x:col min="7" max="7" width="38" hidden="0" customWidth="1"/>
  </x:cols>
  <x:sheetData>
    <x:row r="1">
      <x:c r="A1" s="56" t="str">
        <x:v>Partner Segment</x:v>
      </x:c>
      <x:c r="B1" s="56" t="str">
        <x:v>Primary Partner Need</x:v>
      </x:c>
      <x:c r="C1" s="56" t="str">
        <x:v>Our Value Proposition</x:v>
      </x:c>
      <x:c r="D1" s="56" t="str">
        <x:v>Partnership Concept</x:v>
      </x:c>
      <x:c r="E1" s="56" t="str">
        <x:v>Example Offer</x:v>
      </x:c>
      <x:c r="F1" s="56" t="str">
        <x:v>Primary KPI</x:v>
      </x:c>
      <x:c r="G1" s="56" t="str">
        <x:v>Main Risk</x:v>
      </x:c>
    </x:row>
    <x:row r="2">
      <x:c r="A2" s="10" t="str">
        <x:v>OB-GYN / Women's Health Practice</x:v>
      </x:c>
      <x:c r="B2" s="10" t="str">
        <x:v>Support patients between appointments without adding staff burden</x:v>
      </x:c>
      <x:c r="C2" s="10" t="str">
        <x:v>Give patients one place to navigate trusted maternal-health resources and next-step support</x:v>
      </x:c>
      <x:c r="D2" s="10" t="str">
        <x:v>Referral program</x:v>
      </x:c>
      <x:c r="E2" s="10" t="str">
        <x:v>Clinic shares a QR/referral link after relevant visits; startup handles onboarding and resource navigation</x:v>
      </x:c>
      <x:c r="F2" s="10" t="str">
        <x:v>Referred-user activation rate</x:v>
      </x:c>
      <x:c r="G2" s="10" t="str">
        <x:v>Clinical teams may see little need or dislike workflow changes</x:v>
      </x:c>
    </x:row>
    <x:row r="3">
      <x:c r="A3" s="10" t="str">
        <x:v>Fertility Clinic / Network</x:v>
      </x:c>
      <x:c r="B3" s="10" t="str">
        <x:v>Support patients beyond fertility treatment and into pregnancy / early motherhood</x:v>
      </x:c>
      <x:c r="C3" s="10" t="str">
        <x:v>Extend the family-building journey with pregnancy and postpartum resource navigation</x:v>
      </x:c>
      <x:c r="D3" s="10" t="str">
        <x:v>Referral + lifecycle partnership</x:v>
      </x:c>
      <x:c r="E3" s="10" t="str">
        <x:v>Introduce the platform to patients transitioning from fertility care into pregnancy</x:v>
      </x:c>
      <x:c r="F3" s="10" t="str">
        <x:v>Referral-to-signup conversion</x:v>
      </x:c>
      <x:c r="G3" s="10" t="str">
        <x:v>Timing may be too early for some patients</x:v>
      </x:c>
    </x:row>
    <x:row r="4">
      <x:c r="A4" s="10" t="str">
        <x:v>Doula / Doula Network</x:v>
      </x:c>
      <x:c r="B4" s="10" t="str">
        <x:v>Reach more expecting parents and help clients access adjacent services</x:v>
      </x:c>
      <x:c r="C4" s="10" t="str">
        <x:v>Create a trusted referral ecosystem around pregnancy, birth and postpartum needs</x:v>
      </x:c>
      <x:c r="D4" s="10" t="str">
        <x:v>Two-way referral / educational partnership</x:v>
      </x:c>
      <x:c r="E4" s="10" t="str">
        <x:v>Joint webinar or directory placement plus reciprocal referrals</x:v>
      </x:c>
      <x:c r="F4" s="10" t="str">
        <x:v>Qualified referrals generated</x:v>
      </x:c>
      <x:c r="G4" s="10" t="str">
        <x:v>Many doulas are small businesses with limited scale</x:v>
      </x:c>
    </x:row>
    <x:row r="5">
      <x:c r="A5" s="10" t="str">
        <x:v>Lactation Consultant / Network</x:v>
      </x:c>
      <x:c r="B5" s="10" t="str">
        <x:v>Reach postpartum families who need breastfeeding support</x:v>
      </x:c>
      <x:c r="C5" s="10" t="str">
        <x:v>Connect high-intent new mothers to trusted lactation care while improving postpartum resource navigation</x:v>
      </x:c>
      <x:c r="D5" s="10" t="str">
        <x:v>Referral program / embedded directory</x:v>
      </x:c>
      <x:c r="E5" s="10" t="str">
        <x:v>Lactation provider is surfaced inside the platform; provider refers users back for broader postpartum resources</x:v>
      </x:c>
      <x:c r="F5" s="10" t="str">
        <x:v>Activated postpartum users</x:v>
      </x:c>
      <x:c r="G5" s="10" t="str">
        <x:v>Potential overlap with existing navigation tools</x:v>
      </x:c>
    </x:row>
    <x:row r="6">
      <x:c r="A6" s="10" t="str">
        <x:v>Pelvic-Floor / Postpartum PT</x:v>
      </x:c>
      <x:c r="B6" s="10" t="str">
        <x:v>Reach women who need postpartum recovery support</x:v>
      </x:c>
      <x:c r="C6" s="10" t="str">
        <x:v>Help new mothers discover pelvic-health care earlier and navigate related postpartum resources</x:v>
      </x:c>
      <x:c r="D6" s="10" t="str">
        <x:v>Referral + educational content partnership</x:v>
      </x:c>
      <x:c r="E6" s="10" t="str">
        <x:v>Postpartum recovery guide + clinic referral pathway</x:v>
      </x:c>
      <x:c r="F6" s="10" t="str">
        <x:v>Referral booking rate</x:v>
      </x:c>
      <x:c r="G6" s="10" t="str">
        <x:v>Local practices may have limited capacity</x:v>
      </x:c>
    </x:row>
    <x:row r="7">
      <x:c r="A7" s="10" t="str">
        <x:v>Employer / Benefits Platform</x:v>
      </x:c>
      <x:c r="B7" s="10" t="str">
        <x:v>Provide differentiated family-building and maternity support to employees</x:v>
      </x:c>
      <x:c r="C7" s="10" t="str">
        <x:v>Offer a scalable maternal-health navigation layer that complements existing benefits</x:v>
      </x:c>
      <x:c r="D7" s="10" t="str">
        <x:v>Employee-benefit partnership</x:v>
      </x:c>
      <x:c r="E7" s="10" t="str">
        <x:v>Pilot with one employee population or employer client</x:v>
      </x:c>
      <x:c r="F7" s="10" t="str">
        <x:v>Eligible-user activation / employer adoption</x:v>
      </x:c>
      <x:c r="G7" s="10" t="str">
        <x:v>Long enterprise sales and procurement cycle</x:v>
      </x:c>
    </x:row>
    <x:row r="8">
      <x:c r="A8" s="10" t="str">
        <x:v>Parenting Consumer Brand / Community</x:v>
      </x:c>
      <x:c r="B8" s="10" t="str">
        <x:v>Increase engagement and provide useful maternal-health content/services</x:v>
      </x:c>
      <x:c r="C8" s="10" t="str">
        <x:v>Add trusted, actionable maternal-health resources to an existing parent audience</x:v>
      </x:c>
      <x:c r="D8" s="10" t="str">
        <x:v>Co-marketing / content / community partnership</x:v>
      </x:c>
      <x:c r="E8" s="10" t="str">
        <x:v>Co-branded webinar, guide, newsletter placement or in-app referral</x:v>
      </x:c>
      <x:c r="F8" s="10" t="str">
        <x:v>Traffic-to-signup conversion</x:v>
      </x:c>
      <x:c r="G8" s="10" t="str">
        <x:v>Large audience but weaker purchase/referral intent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38" hidden="0" customWidth="1"/>
    <x:col min="3" max="3" width="52" hidden="0" customWidth="1"/>
    <x:col min="4" max="4" width="58" hidden="0" customWidth="1"/>
    <x:col min="5" max="5" width="34" hidden="0" customWidth="1"/>
    <x:col min="6" max="6" width="42" hidden="0" customWidth="1"/>
  </x:cols>
  <x:sheetData>
    <x:row r="1">
      <x:c r="A1" s="57" t="str">
        <x:v>Segment</x:v>
      </x:c>
      <x:c r="B1" s="57" t="str">
        <x:v>Outreach Hook</x:v>
      </x:c>
      <x:c r="C1" s="57" t="str">
        <x:v>20-sec Value Proposition</x:v>
      </x:c>
      <x:c r="D1" s="57" t="str">
        <x:v>Discovery Questions</x:v>
      </x:c>
      <x:c r="E1" s="57" t="str">
        <x:v>Call-to-Action</x:v>
      </x:c>
      <x:c r="F1" s="57" t="str">
        <x:v>What We Learn</x:v>
      </x:c>
    </x:row>
    <x:row r="2">
      <x:c r="A2" s="10" t="str">
        <x:v>OB-GYN / Women's Health Practice</x:v>
      </x:c>
      <x:c r="B2" s="10" t="str">
        <x:v>Reduce repetitive resource-navigation burden between visits</x:v>
      </x:c>
      <x:c r="C2" s="10" t="str">
        <x:v>We help pregnant and postpartum patients navigate trusted services between appointments without adding much work for clinic staff.</x:v>
      </x:c>
      <x:c r="D2" s="10" t="str">
        <x:v>How do you currently refer patients to postpartum resources?
What questions do patients repeatedly ask?
Who approves outside-resource partnerships?
What would make a 4-week pilot useful?</x:v>
      </x:c>
      <x:c r="E2" s="10" t="str">
        <x:v>20-minute discovery call + lightweight referral pilot</x:v>
      </x:c>
      <x:c r="F2" s="10" t="str">
        <x:v>Current workflow, pain severity, decision process, pilot willingness</x:v>
      </x:c>
    </x:row>
    <x:row r="3">
      <x:c r="A3" s="10" t="str">
        <x:v>Doula / Doula Network</x:v>
      </x:c>
      <x:c r="B3" s="10" t="str">
        <x:v>Help clients discover adjacent maternal-health support</x:v>
      </x:c>
      <x:c r="C3" s="10" t="str">
        <x:v>We can help your clients access lactation, pelvic-floor and postpartum resources while also making your services easier to discover.</x:v>
      </x:c>
      <x:c r="D3" s="10" t="str">
        <x:v>How do clients currently find you?
What referrals do you make most often?
Would reciprocal referrals be useful?
What partnership format would feel low effort?</x:v>
      </x:c>
      <x:c r="E3" s="10" t="str">
        <x:v>Joint webinar / referral test</x:v>
      </x:c>
      <x:c r="F3" s="10" t="str">
        <x:v>Referral behavior, audience fit, preferred partnership format</x:v>
      </x:c>
    </x:row>
    <x:row r="4">
      <x:c r="A4" s="10" t="str">
        <x:v>Lactation Consultant / Network</x:v>
      </x:c>
      <x:c r="B4" s="10" t="str">
        <x:v>Reach high-intent postpartum families</x:v>
      </x:c>
      <x:c r="C4" s="10" t="str">
        <x:v>We create a broader postpartum navigation layer around lactation care, giving new mothers a trusted next step after breastfeeding support.</x:v>
      </x:c>
      <x:c r="D4" s="10" t="str">
        <x:v>What happens when a client needs help outside lactation?
Do you maintain referral lists?
How do you track referrals?
Would digital referrals improve follow-through?</x:v>
      </x:c>
      <x:c r="E4" s="10" t="str">
        <x:v>Referral pilot or embedded listing</x:v>
      </x:c>
      <x:c r="F4" s="10" t="str">
        <x:v>Cross-referral need, tracking gaps, conversion opportunity</x:v>
      </x:c>
    </x:row>
    <x:row r="5">
      <x:c r="A5" s="10" t="str">
        <x:v>Pelvic-Floor / Postpartum PT</x:v>
      </x:c>
      <x:c r="B5" s="10" t="str">
        <x:v>Earlier discovery by postpartum patients</x:v>
      </x:c>
      <x:c r="C5" s="10" t="str">
        <x:v>We help postpartum users understand when pelvic-floor care may be relevant and make it easier to find trusted providers.</x:v>
      </x:c>
      <x:c r="D5" s="10" t="str">
        <x:v>How are patients discovering your practice today?
When do referrals usually happen?
What prevents earlier care?
Would educational content or direct referral links help?</x:v>
      </x:c>
      <x:c r="E5" s="10" t="str">
        <x:v>Educational + referral pilot</x:v>
      </x:c>
      <x:c r="F5" s="10" t="str">
        <x:v>Discovery channel, referral timing, capacity constraints</x:v>
      </x:c>
    </x:row>
    <x:row r="6">
      <x:c r="A6" s="10" t="str">
        <x:v>Employer / Benefits Platform</x:v>
      </x:c>
      <x:c r="B6" s="10" t="str">
        <x:v>Add maternal-health navigation to existing benefits</x:v>
      </x:c>
      <x:c r="C6" s="10" t="str">
        <x:v>We give employees one place to navigate maternal-health resources across pregnancy and postpartum, complementing existing family benefits.</x:v>
      </x:c>
      <x:c r="D6" s="10" t="str">
        <x:v>Which maternity gaps do employees still report?
What outcomes matter to benefits teams?
How are vendors evaluated?
What would a small pilot require?</x:v>
      </x:c>
      <x:c r="E6" s="10" t="str">
        <x:v>Benefits-team discovery call</x:v>
      </x:c>
      <x:c r="F6" s="10" t="str">
        <x:v>Buying criteria, procurement process, enterprise metrics</x:v>
      </x:c>
    </x:row>
    <x:row r="7">
      <x:c r="A7" s="10" t="str">
        <x:v>Parenting Consumer Brand / Community</x:v>
      </x:c>
      <x:c r="B7" s="10" t="str">
        <x:v>Give the audience useful, action-oriented health resources</x:v>
      </x:c>
      <x:c r="C7" s="10" t="str">
        <x:v>We turn maternal-health content into an actionable next step by helping users find the right support and providers.</x:v>
      </x:c>
      <x:c r="D7" s="10" t="str">
        <x:v>Which maternal-health topics drive the most engagement?
How do you evaluate partnerships?
What formats perform best?
Would co-branded content or referral tools be more attractive?</x:v>
      </x:c>
      <x:c r="E7" s="10" t="str">
        <x:v>Co-marketing test</x:v>
      </x:c>
      <x:c r="F7" s="10" t="str">
        <x:v>Audience interest, channel fit, content-to-conversion potential</x:v>
      </x:c>
    </x:row>
    <x:row r="10">
      <x:c r="A10" s="59" t="str">
        <x:v>Sample outreach email — Local OB-GYN / Women’s Health Practice</x:v>
      </x:c>
      <x:c r="B10" s="59"/>
      <x:c r="C10" s="59"/>
      <x:c r="D10" s="59"/>
      <x:c r="E10" s="59"/>
      <x:c r="F10" s="59"/>
    </x:row>
    <x:row r="11">
      <x:c r="A11" s="60" t="str">
        <x:v>Subject: Exploring a lightweight maternal-health referral pilot
Hi [Name],
I’m working on a maternal-health platform that helps pregnant and postpartum women navigate trusted resources between appointments, including lactation support, pelvic-floor therapy, postpartum care and other services.
We’re exploring a small referral pilot with local providers. The workflow is intentionally lightweight: your team would share a referral link or QR code with relevant patients, while we handle onboarding and tracking.
I’d love to learn how your team currently supports patients who need resources outside the clinic and whether a pilot like this could be useful. Would you be open to a 20-minute conversation next week?
Best,
[Name]</x:v>
      </x:c>
      <x:c r="B11" s="60"/>
      <x:c r="C11" s="60"/>
      <x:c r="D11" s="60"/>
      <x:c r="E11" s="60"/>
      <x:c r="F11" s="60"/>
    </x:row>
    <x:row r="12">
      <x:c r="A12" s="60"/>
      <x:c r="B12" s="60"/>
      <x:c r="C12" s="60"/>
      <x:c r="D12" s="60"/>
      <x:c r="E12" s="60"/>
      <x:c r="F12" s="60"/>
    </x:row>
    <x:row r="13">
      <x:c r="A13" s="60"/>
      <x:c r="B13" s="60"/>
      <x:c r="C13" s="60"/>
      <x:c r="D13" s="60"/>
      <x:c r="E13" s="60"/>
      <x:c r="F13" s="60"/>
    </x:row>
    <x:row r="14">
      <x:c r="A14" s="60"/>
      <x:c r="B14" s="60"/>
      <x:c r="C14" s="60"/>
      <x:c r="D14" s="60"/>
      <x:c r="E14" s="60"/>
      <x:c r="F14" s="60"/>
    </x:row>
    <x:row r="15">
      <x:c r="A15" s="60"/>
      <x:c r="B15" s="60"/>
      <x:c r="C15" s="60"/>
      <x:c r="D15" s="60"/>
      <x:c r="E15" s="60"/>
      <x:c r="F15" s="60"/>
    </x:row>
    <x:row r="16">
      <x:c r="A16" s="60"/>
      <x:c r="B16" s="60"/>
      <x:c r="C16" s="60"/>
      <x:c r="D16" s="60"/>
      <x:c r="E16" s="60"/>
      <x:c r="F16" s="60"/>
    </x:row>
    <x:row r="17">
      <x:c r="A17" s="60"/>
      <x:c r="B17" s="60"/>
      <x:c r="C17" s="60"/>
      <x:c r="D17" s="60"/>
      <x:c r="E17" s="60"/>
      <x:c r="F17" s="60"/>
    </x:row>
  </x:sheetData>
  <x:mergeCells>
    <x:mergeCell ref="A10:F10"/>
    <x:mergeCell ref="A11:F17"/>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20" hidden="0" customWidth="1"/>
    <x:col min="3" max="3" width="28" hidden="0" customWidth="1"/>
    <x:col min="4" max="4" width="48" hidden="0" customWidth="1"/>
    <x:col min="5" max="5" width="30" hidden="0" customWidth="1"/>
    <x:col min="7" max="7" width="24" hidden="0" customWidth="1"/>
    <x:col min="8" max="8" width="16" hidden="0" customWidth="1"/>
    <x:col min="9" max="9" width="42" hidden="0" customWidth="1"/>
    <x:col min="10" max="10" width="38" hidden="0" customWidth="1"/>
  </x:cols>
  <x:sheetData>
    <x:row r="1">
      <x:c r="A1" s="57" t="str">
        <x:v>Stage</x:v>
      </x:c>
      <x:c r="B1" s="57" t="str">
        <x:v>Base-Case Volume</x:v>
      </x:c>
      <x:c r="C1" s="57" t="str">
        <x:v>Conversion from Prior Stage</x:v>
      </x:c>
      <x:c r="D1" s="57" t="str">
        <x:v>What It Means</x:v>
      </x:c>
      <x:c r="E1" s="57" t="str">
        <x:v>KPI</x:v>
      </x:c>
      <x:c r="G1" s="64" t="str">
        <x:v>Example 4-Week Provider Pilot</x:v>
      </x:c>
      <x:c r="H1" s="64"/>
      <x:c r="I1" s="64"/>
      <x:c r="J1" s="64"/>
    </x:row>
    <x:row r="2">
      <x:c r="A2" s="10" t="str">
        <x:v>Prospects identified</x:v>
      </x:c>
      <x:c r="B2" s="10" t="n">
        <x:v>150</x:v>
      </x:c>
      <x:c r="C2" s="10" t="str"/>
      <x:c r="D2" s="10" t="str">
        <x:v>Partner universe created</x:v>
      </x:c>
      <x:c r="E2" s="10" t="str">
        <x:v>Partner universe size</x:v>
      </x:c>
      <x:c r="G2" s="65" t="str">
        <x:v>Metric</x:v>
      </x:c>
      <x:c r="H2" s="65" t="str">
        <x:v>Target</x:v>
      </x:c>
      <x:c r="I2" s="65" t="str">
        <x:v>Why It Matters</x:v>
      </x:c>
      <x:c r="J2" s="65" t="str">
        <x:v>Decision Rule</x:v>
      </x:c>
    </x:row>
    <x:row r="3">
      <x:c r="A3" s="10" t="str">
        <x:v>High / medium priority prospects</x:v>
      </x:c>
      <x:c r="B3" s="10" t="n">
        <x:v>60</x:v>
      </x:c>
      <x:c r="C3" s="61" t="n">
        <x:f>B3/B2</x:f>
        <x:v>0.4</x:v>
      </x:c>
      <x:c r="D3" s="10" t="str">
        <x:v>Fit scoring filters the list</x:v>
      </x:c>
      <x:c r="E3" s="10" t="str">
        <x:v>Qualification rate</x:v>
      </x:c>
      <x:c r="G3" s="10" t="str">
        <x:v>Patient exposures</x:v>
      </x:c>
      <x:c r="H3" s="10" t="n">
        <x:v>500</x:v>
      </x:c>
      <x:c r="I3" s="10" t="str">
        <x:v>Enough traffic for an initial directional test</x:v>
      </x:c>
      <x:c r="J3" s="10" t="str">
        <x:v>If too low, distribution method is weak</x:v>
      </x:c>
    </x:row>
    <x:row r="4">
      <x:c r="A4" s="10" t="str">
        <x:v>Prospects contacted</x:v>
      </x:c>
      <x:c r="B4" s="10" t="n">
        <x:v>40</x:v>
      </x:c>
      <x:c r="C4" s="61" t="n">
        <x:f>B4/B3</x:f>
        <x:v>0.6666666666666666</x:v>
      </x:c>
      <x:c r="D4" s="10" t="str">
        <x:v>First outbound cohort</x:v>
      </x:c>
      <x:c r="E4" s="10" t="str">
        <x:v>Outreach coverage</x:v>
      </x:c>
      <x:c r="G4" s="10" t="str">
        <x:v>Referral-link clicks</x:v>
      </x:c>
      <x:c r="H4" s="10" t="n">
        <x:v>75</x:v>
      </x:c>
      <x:c r="I4" s="10" t="str">
        <x:v>Measures provider-to-patient interest</x:v>
      </x:c>
      <x:c r="J4" s="10" t="str">
        <x:v>&gt;=15% click rate</x:v>
      </x:c>
    </x:row>
    <x:row r="5">
      <x:c r="A5" s="10" t="str">
        <x:v>Positive replies</x:v>
      </x:c>
      <x:c r="B5" s="10" t="n">
        <x:v>15</x:v>
      </x:c>
      <x:c r="C5" s="61" t="n">
        <x:f>B5/B4</x:f>
        <x:v>0.375</x:v>
      </x:c>
      <x:c r="D5" s="10" t="str">
        <x:v>Prospects interested enough to engage</x:v>
      </x:c>
      <x:c r="E5" s="10" t="str">
        <x:v>Response rate</x:v>
      </x:c>
      <x:c r="G5" s="10" t="str">
        <x:v>Signups</x:v>
      </x:c>
      <x:c r="H5" s="10" t="n">
        <x:v>35</x:v>
      </x:c>
      <x:c r="I5" s="10" t="str">
        <x:v>Measures landing-page/value-prop conversion</x:v>
      </x:c>
      <x:c r="J5" s="10" t="str">
        <x:v>&gt;=40% of clicks</x:v>
      </x:c>
    </x:row>
    <x:row r="6">
      <x:c r="A6" s="10" t="str">
        <x:v>Discovery calls</x:v>
      </x:c>
      <x:c r="B6" s="10" t="n">
        <x:v>10</x:v>
      </x:c>
      <x:c r="C6" s="61" t="n">
        <x:f>B6/B5</x:f>
        <x:v>0.6666666666666666</x:v>
      </x:c>
      <x:c r="D6" s="10" t="str">
        <x:v>Conversations to validate pain and fit</x:v>
      </x:c>
      <x:c r="E6" s="10" t="str">
        <x:v>Reply-to-meeting conversion</x:v>
      </x:c>
      <x:c r="G6" s="10" t="str">
        <x:v>Activated users</x:v>
      </x:c>
      <x:c r="H6" s="10" t="n">
        <x:v>20</x:v>
      </x:c>
      <x:c r="I6" s="10" t="str">
        <x:v>Measures whether referred users get real value</x:v>
      </x:c>
      <x:c r="J6" s="10" t="str">
        <x:v>&gt;=50% of signups</x:v>
      </x:c>
    </x:row>
    <x:row r="7">
      <x:c r="A7" s="10" t="str">
        <x:v>Qualified partners</x:v>
      </x:c>
      <x:c r="B7" s="10" t="n">
        <x:v>6</x:v>
      </x:c>
      <x:c r="C7" s="61" t="n">
        <x:f>B7/B6</x:f>
        <x:v>0.6</x:v>
      </x:c>
      <x:c r="D7" s="10" t="str">
        <x:v>Confirmed fit + realistic partnership path</x:v>
      </x:c>
      <x:c r="E7" s="10" t="str">
        <x:v>Qualification rate after discovery</x:v>
      </x:c>
      <x:c r="G7" s="10" t="str">
        <x:v>Partner continuation</x:v>
      </x:c>
      <x:c r="H7" s="10" t="str">
        <x:v>Yes</x:v>
      </x:c>
      <x:c r="I7" s="10" t="str">
        <x:v>Tests whether the partner itself sees value</x:v>
      </x:c>
      <x:c r="J7" s="10" t="str">
        <x:v>Continue / expand only if partner wants to repeat</x:v>
      </x:c>
    </x:row>
    <x:row r="8">
      <x:c r="A8" s="10" t="str">
        <x:v>Pilot partners</x:v>
      </x:c>
      <x:c r="B8" s="10" t="n">
        <x:v>3</x:v>
      </x:c>
      <x:c r="C8" s="61" t="n">
        <x:f>B8/B7</x:f>
        <x:v>0.5</x:v>
      </x:c>
      <x:c r="D8" s="10" t="str">
        <x:v>Partners that agree to launch a test</x:v>
      </x:c>
      <x:c r="E8" s="10" t="str">
        <x:v>Pilot conversion</x:v>
      </x:c>
    </x:row>
    <x:row r="9">
      <x:c r="A9" s="10" t="str">
        <x:v>Ongoing partnerships</x:v>
      </x:c>
      <x:c r="B9" s="10" t="n">
        <x:v>2</x:v>
      </x:c>
      <x:c r="C9" s="61" t="n">
        <x:f>B9/B8</x:f>
        <x:v>0.6666666666666666</x:v>
      </x:c>
      <x:c r="D9" s="10" t="str">
        <x:v>Pilots worth continuing</x:v>
      </x:c>
      <x:c r="E9" s="10" t="str">
        <x:v>Pilot retention</x:v>
      </x:c>
    </x:row>
    <x:row r="10">
      <x:c r="A10" s="10" t="str">
        <x:v>Monthly referred users</x:v>
      </x:c>
      <x:c r="B10" s="10" t="n">
        <x:v>120</x:v>
      </x:c>
      <x:c r="C10" s="61" t="str"/>
      <x:c r="D10" s="10" t="str">
        <x:v>Illustrative total from activated partners</x:v>
      </x:c>
      <x:c r="E10" s="10" t="str">
        <x:v>Referral volume</x:v>
      </x:c>
    </x:row>
    <x:row r="11">
      <x:c r="A11" s="10" t="str">
        <x:v>Activated users</x:v>
      </x:c>
      <x:c r="B11" s="10" t="n">
        <x:v>72</x:v>
      </x:c>
      <x:c r="C11" s="61" t="n">
        <x:f>B11/B10</x:f>
        <x:v>0.6</x:v>
      </x:c>
      <x:c r="D11" s="10" t="str">
        <x:v>Users who complete meaningful onboarding/use</x:v>
      </x:c>
      <x:c r="E11" s="10" t="str">
        <x:v>User activation rate</x:v>
      </x:c>
    </x:row>
  </x:sheetData>
  <x:mergeCells>
    <x:mergeCell ref="G1:J1"/>
  </x:mergeCells>
  <x:pageMargins left="0.7" right="0.7" top="0.75" bottom="0.75" header="0.3" footer="0.3"/>
  <x:drawing xmlns:r="http://schemas.openxmlformats.org/officeDocument/2006/relationships" r:id="R903726116d784173"/>
</x:worksheet>
</file>

<file path=xl/worksheets/sheet8.xml><?xml version="1.0" encoding="utf-8"?>
<x:worksheet xmlns:x="http://schemas.openxmlformats.org/spreadsheetml/2006/main">
  <x:sheetFormatPr defaultRowHeight="15"/>
  <x:cols>
    <x:col min="1" max="1" width="24" hidden="0" customWidth="1"/>
    <x:col min="2" max="2" width="78" hidden="0" customWidth="1"/>
    <x:col min="3" max="3" width="36" hidden="0" customWidth="1"/>
    <x:col min="4" max="4" width="42" hidden="0" customWidth="1"/>
  </x:cols>
  <x:sheetData>
    <x:row r="1">
      <x:c r="A1" s="66" t="str">
        <x:v>Section</x:v>
      </x:c>
      <x:c r="B1" s="66" t="str">
        <x:v>Interview-Ready Answer</x:v>
      </x:c>
      <x:c r="C1" s="66" t="str">
        <x:v>Evidence in Workbook</x:v>
      </x:c>
      <x:c r="D1" s="66" t="str">
        <x:v>Likely Follow-Up</x:v>
      </x:c>
    </x:row>
    <x:row r="2">
      <x:c r="A2" s="10" t="str">
        <x:v>Project objective</x:v>
      </x:c>
      <x:c r="B2" s="10" t="str">
        <x:v>I wanted to test whether partnerships could become a repeatable, lower-cost acquisition channel for a maternal-health startup rather than relying only on paid acquisition.</x:v>
      </x:c>
      <x:c r="C2" s="10" t="str">
        <x:v>Partner Universe + Funnel &amp; KPI Model</x:v>
      </x:c>
      <x:c r="D2" s="10" t="str">
        <x:v>Why partnerships instead of paid marketing?</x:v>
      </x:c>
    </x:row>
    <x:row r="3">
      <x:c r="A3" s="10" t="str">
        <x:v>How I found 150+ partners</x:v>
      </x:c>
      <x:c r="B3" s="10" t="str">
        <x:v>I built the universe using public company websites, provider directories, professional associations and targeted industry research, then grouped organizations by where pregnant and postpartum users already interact with trusted providers or brands.</x:v>
      </x:c>
      <x:c r="C3" s="10" t="str">
        <x:v>Partner Universe</x:v>
      </x:c>
      <x:c r="D3" s="10" t="str">
        <x:v>Give me examples from each category.</x:v>
      </x:c>
    </x:row>
    <x:row r="4">
      <x:c r="A4" s="10" t="str">
        <x:v>How I prioritized them</x:v>
      </x:c>
      <x:c r="B4" s="10" t="str">
        <x:v>I scored each partner from 1–5 across audience overlap, referral potential, strategic fit, ease of activation, trust and expected acquisition impact, then converted that into priority tiers.</x:v>
      </x:c>
      <x:c r="C4" s="10" t="str">
        <x:v>Scoring Framework + Top 25 Priorities</x:v>
      </x:c>
      <x:c r="D4" s="10" t="str">
        <x:v>Why these weights? Why not just target the largest partners?</x:v>
      </x:c>
    </x:row>
    <x:row r="5">
      <x:c r="A5" s="10" t="str">
        <x:v>What I designed for priority segments</x:v>
      </x:c>
      <x:c r="B5" s="10" t="str">
        <x:v>I tailored the partnership model by segment: referrals for providers, education and two-way referrals for doulas/lactation partners, co-marketing for consumer brands and employee-benefit partnerships for employers.</x:v>
      </x:c>
      <x:c r="C5" s="10" t="str">
        <x:v>Partnership Playbook</x:v>
      </x:c>
      <x:c r="D5" s="10" t="str">
        <x:v>Walk me through one concrete example.</x:v>
      </x:c>
    </x:row>
    <x:row r="6">
      <x:c r="A6" s="10" t="str">
        <x:v>How I would validate the strategy</x:v>
      </x:c>
      <x:c r="B6" s="10" t="str">
        <x:v>I designed discovery questions and a measurable funnel from outreach to activated partnerships and downstream referred-user activation.</x:v>
      </x:c>
      <x:c r="C6" s="10" t="str">
        <x:v>Outreach &amp; Discovery + Funnel &amp; KPI Model</x:v>
      </x:c>
      <x:c r="D6" s="10" t="str">
        <x:v>What would make you stop or change the strategy?</x:v>
      </x:c>
    </x:row>
    <x:row r="7">
      <x:c r="A7" s="10" t="str">
        <x:v>Biggest insight</x:v>
      </x:c>
      <x:c r="B7" s="10" t="str">
        <x:v>The biggest partner is not always the best first partner. For an early-stage company, speed to learning and ease of activation can matter as much as raw reach.</x:v>
      </x:c>
      <x:c r="C7" s="10" t="str">
        <x:v>Scoring Framework + Funnel &amp; KPI Model</x:v>
      </x:c>
      <x:c r="D7" s="10" t="str">
        <x:v>How would you update the model after discovery calls?</x:v>
      </x:c>
    </x:row>
  </x:sheetData>
  <x:pageMargins left="0.7" right="0.7" top="0.75" bottom="0.75" header="0.3" footer="0.3"/>
</x:worksheet>
</file>